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688208f9bc4686" /></Relationships>
</file>

<file path=xl/workbook.xml><?xml version="1.0" encoding="utf-8"?>
<x:workbook xmlns:x="http://schemas.openxmlformats.org/spreadsheetml/2006/main">
  <x:sheets>
    <x:sheet xmlns:r="http://schemas.openxmlformats.org/officeDocument/2006/relationships" name="Portada" sheetId="1" r:id="R20833497aa9444f2"/>
    <x:sheet xmlns:r="http://schemas.openxmlformats.org/officeDocument/2006/relationships" name="Catálogo formatos" sheetId="2" r:id="Rfb2c5ab8396f460f"/>
    <x:sheet xmlns:r="http://schemas.openxmlformats.org/officeDocument/2006/relationships" name="Aplicabilidad DocTipo" sheetId="3" r:id="Rd19690314a4a486b"/>
    <x:sheet xmlns:r="http://schemas.openxmlformats.org/officeDocument/2006/relationships" name="Control aprobación" sheetId="4" r:id="R8a995db4c5f14591"/>
    <x:sheet xmlns:r="http://schemas.openxmlformats.org/officeDocument/2006/relationships" name="TRD contractual" sheetId="5" r:id="Re0cdea81cfd84c19"/>
    <x:sheet xmlns:r="http://schemas.openxmlformats.org/officeDocument/2006/relationships" name="Matriz riesgos" sheetId="6" r:id="Rc6285aa6b89e4365"/>
    <x:sheet xmlns:r="http://schemas.openxmlformats.org/officeDocument/2006/relationships" name="Checklist expediente" sheetId="7" r:id="Rbae4a618f1d3417a"/>
    <x:sheet xmlns:r="http://schemas.openxmlformats.org/officeDocument/2006/relationships" name="Proyecto aplicativo" sheetId="8" r:id="R6e5beda67e5b44f3"/>
    <x:sheet xmlns:r="http://schemas.openxmlformats.org/officeDocument/2006/relationships" name="Normativa" sheetId="9" r:id="R4b01ec11c4a24e9e"/>
    <x:sheet xmlns:r="http://schemas.openxmlformats.org/officeDocument/2006/relationships" name="Publicación web" sheetId="10" r:id="R85b45923fac24726"/>
    <x:sheet xmlns:r="http://schemas.openxmlformats.org/officeDocument/2006/relationships" name="Parámetros" sheetId="11" r:id="Rbc5d7646cc6849c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0%"/>
    <x:numFmt numFmtId="203" formatCode="dd/mm/yyyy"/>
    <x:numFmt numFmtId="204" formatCode="@"/>
  </x:numFmts>
  <x:fonts count="8">
    <x:font>
      <x:sz val="11"/>
      <x:name val="Carlito"/>
    </x:font>
    <x:font>
      <x:b/>
      <x:sz val="18"/>
      <x:color rgb="FFFFFFFF"/>
      <x:name val="Century Gothic"/>
    </x:font>
    <x:font>
      <x:b/>
      <x:sz val="10"/>
      <x:color rgb="FF01256A"/>
      <x:name val="Century Gothic"/>
    </x:font>
    <x:font>
      <x:b/>
      <x:sz val="9"/>
      <x:color rgb="FFFFFFFF"/>
      <x:name val="Century Gothic"/>
    </x:font>
    <x:font>
      <x:b/>
      <x:sz val="18"/>
      <x:color rgb="FF01256A"/>
      <x:name val="Century Gothic"/>
    </x:font>
    <x:font>
      <x:sz val="9"/>
      <x:color rgb="FF6B5200"/>
      <x:name val="Century Gothic"/>
    </x:font>
    <x:font>
      <x:sz val="9"/>
      <x:color rgb="FF162534"/>
      <x:name val="Century Gothic"/>
    </x:font>
    <x:font>
      <x:b/>
      <x:sz val="17"/>
      <x:color rgb="FF01256A"/>
      <x:name val="Century Gothic"/>
    </x:font>
  </x:fonts>
  <x:fills count="6">
    <x:fill>
      <x:patternFill patternType="none"/>
    </x:fill>
    <x:fill>
      <x:patternFill patternType="gray125"/>
    </x:fill>
    <x:fill>
      <x:patternFill patternType="solid">
        <x:fgColor rgb="FF01256A"/>
      </x:patternFill>
    </x:fill>
    <x:fill>
      <x:patternFill patternType="solid">
        <x:fgColor rgb="FFEAF2FB"/>
      </x:patternFill>
    </x:fill>
    <x:fill>
      <x:patternFill patternType="solid">
        <x:fgColor rgb="FFFFF4CE"/>
      </x:patternFill>
    </x:fill>
    <x:fill>
      <x:patternFill patternType="solid">
        <x:fgColor rgb="FF0E4A92"/>
      </x:patternFill>
    </x:fill>
  </x:fills>
  <x:borders count="2">
    <x:border/>
    <x:border/>
  </x:borders>
  <x:cellStyleXfs count="1">
    <x:xf numFmtId="0" fontId="0" fillId="0" borderId="0"/>
  </x:cellStyleXfs>
  <x:cellXfs count="9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200" fontId="4" fillId="3" borderId="0" xfId="0" applyNumberFormat="1" applyFont="1" applyFill="1" applyBorder="1" applyAlignment="1">
      <x:alignment horizontal="center" vertical="center" wrapText="1"/>
    </x:xf>
    <x:xf numFmtId="200" fontId="4" fillId="3" borderId="1" xfId="0" applyNumberFormat="1" applyFont="1" applyFill="1" applyBorder="1" applyAlignment="1">
      <x:alignment horizontal="center" vertical="center" wrapText="1"/>
    </x:xf>
    <x:xf numFmtId="201" fontId="4" fillId="3" borderId="0" xfId="0" applyNumberFormat="1" applyFont="1" applyFill="1" applyBorder="1" applyAlignment="1">
      <x:alignment horizontal="center" vertical="center" wrapText="1"/>
    </x:xf>
    <x:xf numFmtId="201" fontId="4" fillId="3" borderId="1" xfId="0" applyNumberFormat="1" applyFont="1" applyFill="1" applyBorder="1" applyAlignment="1">
      <x:alignment horizontal="center" vertical="center"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202" fontId="6" fillId="0" borderId="1"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202" fontId="6" fillId="5"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202" fontId="3" fillId="5" borderId="0" xfId="0" applyNumberFormat="1" applyFont="1" applyFill="1" applyBorder="1" applyAlignment="1">
      <x:alignment vertical="center" wrapText="1"/>
    </x:xf>
    <x:xf numFmtId="0" fontId="3" fillId="5" borderId="0" xfId="0" applyNumberFormat="1" applyFont="1" applyFill="1" applyBorder="1" applyAlignment="1">
      <x:alignment horizontal="center" vertical="center" wrapText="1"/>
    </x:xf>
    <x:xf numFmtId="202" fontId="3" fillId="5" borderId="0" xfId="0" applyNumberFormat="1" applyFont="1" applyFill="1" applyBorder="1" applyAlignment="1">
      <x:alignment horizontal="center" vertical="center" wrapText="1"/>
    </x:xf>
    <x:xf numFmtId="0" fontId="6" fillId="5" borderId="1" xfId="0" applyNumberFormat="1" applyFont="1" applyFill="1" applyBorder="1" applyAlignment="1">
      <x:alignment vertical="center" wrapText="1"/>
    </x:xf>
    <x:xf numFmtId="202" fontId="6" fillId="5" borderId="1"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202" fontId="3" fillId="5" borderId="1" xfId="0" applyNumberFormat="1" applyFont="1" applyFill="1" applyBorder="1" applyAlignment="1">
      <x:alignment vertical="center" wrapText="1"/>
    </x:xf>
    <x:xf numFmtId="0" fontId="3" fillId="5" borderId="1" xfId="0" applyNumberFormat="1" applyFont="1" applyFill="1" applyBorder="1" applyAlignment="1">
      <x:alignment horizontal="center" vertical="center" wrapText="1"/>
    </x:xf>
    <x:xf numFmtId="202" fontId="3" fillId="5" borderId="1" xfId="0" applyNumberFormat="1" applyFont="1" applyFill="1" applyBorder="1" applyAlignment="1">
      <x:alignment horizontal="center" vertical="center" wrapText="1"/>
    </x:xf>
    <x:xf numFmtId="203" fontId="6" fillId="0" borderId="0" xfId="0" applyNumberFormat="1" applyFont="1" applyFill="1" applyBorder="1" applyAlignment="1">
      <x:alignment vertical="center" wrapText="1"/>
    </x:xf>
    <x:xf numFmtId="203" fontId="6" fillId="0" borderId="1" xfId="0" applyNumberFormat="1" applyFont="1" applyFill="1" applyBorder="1" applyAlignment="1">
      <x:alignment vertical="center" wrapText="1"/>
    </x:xf>
    <x:xf numFmtId="201" fontId="6" fillId="0" borderId="0" xfId="0" applyNumberFormat="1" applyFont="1" applyFill="1" applyBorder="1" applyAlignment="1">
      <x:alignment vertical="center" wrapText="1"/>
    </x:xf>
    <x:xf numFmtId="201" fontId="6" fillId="0" borderId="1" xfId="0" applyNumberFormat="1" applyFont="1" applyFill="1" applyBorder="1" applyAlignment="1">
      <x:alignment vertical="center" wrapText="1"/>
    </x:xf>
    <x:xf numFmtId="204" fontId="6" fillId="0" borderId="0" xfId="0" applyNumberFormat="1" applyFont="1" applyFill="1" applyBorder="1" applyAlignment="1">
      <x:alignment vertical="center" wrapText="1"/>
    </x:xf>
    <x:xf numFmtId="204" fontId="6" fillId="0" borderId="1"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7" fillId="3" borderId="0" xfId="0" applyNumberFormat="1" applyFont="1" applyFill="1" applyBorder="1"/>
    <x:xf numFmtId="0" fontId="7" fillId="3" borderId="0" xfId="0" applyNumberFormat="1" applyFont="1" applyFill="1" applyBorder="1" applyAlignment="1">
      <x:alignment horizontal="center"/>
    </x:xf>
    <x:xf numFmtId="0" fontId="7" fillId="3" borderId="0" xfId="0" applyNumberFormat="1" applyFont="1" applyFill="1" applyBorder="1" applyAlignment="1">
      <x:alignment horizontal="center" vertical="center"/>
    </x:xf>
    <x:xf numFmtId="0" fontId="7" fillId="3" borderId="1" xfId="0" applyNumberFormat="1" applyFont="1" applyFill="1" applyBorder="1"/>
    <x:xf numFmtId="0" fontId="7" fillId="3" borderId="1" xfId="0" applyNumberFormat="1" applyFont="1" applyFill="1" applyBorder="1" applyAlignment="1">
      <x:alignment horizontal="center"/>
    </x:xf>
    <x:xf numFmtId="0" fontId="7" fillId="3" borderId="1" xfId="0" applyNumberFormat="1" applyFont="1" applyFill="1" applyBorder="1" applyAlignment="1">
      <x:alignment horizontal="center" vertical="center"/>
    </x:xf>
    <x:xf numFmtId="200" fontId="7" fillId="3" borderId="0" xfId="0" applyNumberFormat="1" applyFont="1" applyFill="1" applyBorder="1" applyAlignment="1">
      <x:alignment horizontal="center" vertical="center"/>
    </x:xf>
    <x:xf numFmtId="200" fontId="7" fillId="3" borderId="1" xfId="0" applyNumberFormat="1" applyFont="1" applyFill="1" applyBorder="1" applyAlignment="1">
      <x:alignment horizontal="center" vertical="center"/>
    </x:xf>
    <x:xf numFmtId="201" fontId="7" fillId="3" borderId="0" xfId="0" applyNumberFormat="1" applyFont="1" applyFill="1" applyBorder="1" applyAlignment="1">
      <x:alignment horizontal="center" vertical="center"/>
    </x:xf>
    <x:xf numFmtId="201" fontId="7" fillId="3" borderId="1" xfId="0" applyNumberFormat="1" applyFont="1" applyFill="1" applyBorder="1" applyAlignment="1">
      <x:alignment horizontal="center" vertical="center"/>
    </x:xf>
  </x:cellXfs>
  <x:cellStyles count="1">
    <x:cellStyle name="Normal" xfId="0"/>
  </x:cellStyles>
  <x:dxfs count="15">
    <x:dxf>
      <x:font>
        <x:b/>
        <x:color rgb="FF247A3C"/>
      </x:font>
      <x:fill>
        <x:patternFill patternType="solid">
          <x:bgColor rgb="FFE2F0D9"/>
        </x:patternFill>
      </x:fill>
    </x:dxf>
    <x:dxf>
      <x:font>
        <x:b/>
        <x:color rgb="FF7A5A00"/>
      </x:font>
      <x:fill>
        <x:patternFill patternType="solid">
          <x:bgColor rgb="FFFFF4CE"/>
        </x:patternFill>
      </x:fill>
    </x:dxf>
    <x:dxf>
      <x:font>
        <x:b/>
        <x:color rgb="FF247A3C"/>
      </x:font>
      <x:fill>
        <x:patternFill patternType="solid">
          <x:bgColor rgb="FFE2F0D9"/>
        </x:patternFill>
      </x:fill>
    </x:dxf>
    <x:dxf>
      <x:font>
        <x:color rgb="FF7A5A00"/>
      </x:font>
      <x:fill>
        <x:patternFill patternType="solid">
          <x:bgColor rgb="FFFFF4CE"/>
        </x:patternFill>
      </x:fill>
    </x:dxf>
    <x:dxf>
      <x:font>
        <x:b/>
        <x:color rgb="FF247A3C"/>
      </x:font>
      <x:fill>
        <x:patternFill patternType="solid">
          <x:bgColor rgb="FFE2F0D9"/>
        </x:patternFill>
      </x:fill>
    </x:dxf>
    <x:dxf>
      <x:font>
        <x:b/>
        <x:color rgb="FF7A5A00"/>
      </x:font>
      <x:fill>
        <x:patternFill patternType="solid">
          <x:bgColor rgb="FFFFF4CE"/>
        </x:patternFill>
      </x:fill>
    </x:dxf>
    <x:dxf>
      <x:font>
        <x:b/>
        <x:color rgb="FF7A5A00"/>
      </x:font>
      <x:fill>
        <x:patternFill patternType="solid">
          <x:bgColor rgb="FFFFF4CE"/>
        </x:patternFill>
      </x:fill>
    </x:dxf>
    <x:dxf>
      <x:font>
        <x:b/>
        <x:color rgb="FFFFFFFF"/>
      </x:font>
      <x:fill>
        <x:patternFill patternType="solid">
          <x:bgColor rgb="FFB3261E"/>
        </x:patternFill>
      </x:fill>
    </x:dxf>
    <x:dxf>
      <x:font>
        <x:b/>
        <x:color rgb="FFFFFFFF"/>
      </x:font>
      <x:fill>
        <x:patternFill patternType="solid">
          <x:bgColor rgb="FFB3261E"/>
        </x:patternFill>
      </x:fill>
    </x:dxf>
    <x:dxf>
      <x:font>
        <x:b/>
        <x:color rgb="FF247A3C"/>
      </x:font>
      <x:fill>
        <x:patternFill patternType="solid">
          <x:bgColor rgb="FFE2F0D9"/>
        </x:patternFill>
      </x:fill>
    </x:dxf>
    <x:dxf>
      <x:font>
        <x:b/>
        <x:color rgb="FFB3261E"/>
      </x:font>
      <x:fill>
        <x:patternFill patternType="solid">
          <x:bgColor rgb="FFFCE8E6"/>
        </x:patternFill>
      </x:fill>
    </x:dxf>
    <x:dxf>
      <x:font>
        <x:color rgb="FF7A5A00"/>
      </x:font>
      <x:fill>
        <x:patternFill patternType="solid">
          <x:bgColor rgb="FFFFF4CE"/>
        </x:patternFill>
      </x:fill>
    </x:dxf>
    <x:dxf>
      <x:font>
        <x:b/>
        <x:color rgb="FF247A3C"/>
      </x:font>
      <x:fill>
        <x:patternFill patternType="solid">
          <x:bgColor rgb="FFE2F0D9"/>
        </x:patternFill>
      </x:fill>
    </x:dxf>
    <x:dxf>
      <x:font>
        <x:b/>
        <x:color rgb="FF247A3C"/>
      </x:font>
      <x:fill>
        <x:patternFill patternType="solid">
          <x:bgColor rgb="FFE2F0D9"/>
        </x:patternFill>
      </x:fill>
    </x:dxf>
    <x:dxf>
      <x:font>
        <x:b/>
        <x:color rgb="FFB3261E"/>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978f47bfe148a8" /><Relationship Type="http://schemas.openxmlformats.org/officeDocument/2006/relationships/theme" Target="/xl/theme/theme1.xml" Id="Ra4bcaeb876f540a7" /><Relationship Type="http://schemas.openxmlformats.org/officeDocument/2006/relationships/sharedStrings" Target="/xl/sharedStrings.xml" Id="Raaa3162759ff41c4" /><Relationship Type="http://schemas.openxmlformats.org/officeDocument/2006/relationships/worksheet" Target="/xl/worksheets/sheet1.xml" Id="R20833497aa9444f2" /><Relationship Type="http://schemas.openxmlformats.org/officeDocument/2006/relationships/worksheet" Target="/xl/worksheets/sheet2.xml" Id="Rfb2c5ab8396f460f" /><Relationship Type="http://schemas.openxmlformats.org/officeDocument/2006/relationships/worksheet" Target="/xl/worksheets/sheet3.xml" Id="Rd19690314a4a486b" /><Relationship Type="http://schemas.openxmlformats.org/officeDocument/2006/relationships/worksheet" Target="/xl/worksheets/sheet4.xml" Id="R8a995db4c5f14591" /><Relationship Type="http://schemas.openxmlformats.org/officeDocument/2006/relationships/worksheet" Target="/xl/worksheets/sheet5.xml" Id="Re0cdea81cfd84c19" /><Relationship Type="http://schemas.openxmlformats.org/officeDocument/2006/relationships/worksheet" Target="/xl/worksheets/sheet6.xml" Id="Rc6285aa6b89e4365" /><Relationship Type="http://schemas.openxmlformats.org/officeDocument/2006/relationships/worksheet" Target="/xl/worksheets/sheet7.xml" Id="Rbae4a618f1d3417a" /><Relationship Type="http://schemas.openxmlformats.org/officeDocument/2006/relationships/worksheet" Target="/xl/worksheets/sheet8.xml" Id="R6e5beda67e5b44f3" /><Relationship Type="http://schemas.openxmlformats.org/officeDocument/2006/relationships/worksheet" Target="/xl/worksheets/sheet9.xml" Id="R4b01ec11c4a24e9e" /><Relationship Type="http://schemas.openxmlformats.org/officeDocument/2006/relationships/worksheet" Target="/xl/worksheets/sheet10.xml" Id="R85b45923fac24726" /><Relationship Type="http://schemas.openxmlformats.org/officeDocument/2006/relationships/worksheet" Target="/xl/worksheets/sheet11.xml" Id="Rbc5d7646cc6849ca" /></Relationships>
</file>

<file path=xl/drawings/_rels/drawing1.xml.rels>&#65279;<?xml version="1.0" encoding="utf-8"?><Relationships xmlns="http://schemas.openxmlformats.org/package/2006/relationships"><Relationship Type="http://schemas.openxmlformats.org/officeDocument/2006/relationships/chart" Target="/xl/drawings/charts/chart1.xml" Id="R5cb1b8ff2d58401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Distribución de formatos por etapa</a:t>
            </a:r>
          </a:p>
        </c:rich>
      </c:tx>
      <c:overlay val="0"/>
    </c:title>
    <c:autoTitleDeleted val="0"/>
    <c:plotArea>
      <c:layout/>
      <c:barChart>
        <c:barDir val="col"/>
        <c:varyColors val="0"/>
        <c:ser>
          <c:idx val="0"/>
          <c:order val="0"/>
          <c:tx>
            <c:v>Cantidad</c:v>
          </c:tx>
          <c:cat>
            <c:strRef>
              <c:f>'Portada'!$A$20:$A$25</c:f>
              <c:strCache>
                <c:ptCount val="0"/>
              </c:strCache>
            </c:strRef>
          </c:cat>
          <c:val>
            <c:numRef>
              <c:f>'Portada'!$B$20:$B$25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18</xdr:row>
      <xdr:rowOff>0</xdr:rowOff>
    </xdr:from>
    <xdr:to>
      <xdr:col>14</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cb1b8ff2d584019"/>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a99bcd681e041a6" /></Relationships>
</file>

<file path=xl/worksheets/sheet1.xml><?xml version="1.0" encoding="utf-8"?>
<x:worksheet xmlns:x="http://schemas.openxmlformats.org/spreadsheetml/2006/main">
  <x:sheetFormatPr defaultRowHeight="15"/>
  <x:cols>
    <x:col min="1" max="1" width="8" hidden="0" customWidth="1"/>
    <x:col min="2" max="2" width="24" hidden="0" customWidth="1"/>
    <x:col min="3" max="3" width="68" hidden="0" customWidth="1"/>
    <x:col min="4" max="4" width="20" hidden="0" customWidth="1"/>
    <x:col min="5" max="5" width="4" hidden="0" customWidth="1"/>
    <x:col min="6" max="6" width="18" hidden="0" customWidth="1"/>
    <x:col min="7" max="7" width="3"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28" customHeight="1">
      <x:c r="A1" s="6" t="str">
        <x:v>MATRIZ MAESTRA DE FORMATOS Y MODELOS CONTRACTUALES</x:v>
      </x:c>
      <x:c r="B1" s="6"/>
      <x:c r="C1" s="6"/>
      <x:c r="D1" s="6"/>
      <x:c r="E1" s="6"/>
      <x:c r="F1" s="6"/>
      <x:c r="G1" s="6"/>
      <x:c r="H1" s="6"/>
      <x:c r="I1" s="6"/>
      <x:c r="J1" s="6"/>
      <x:c r="K1" s="6"/>
      <x:c r="L1" s="6"/>
      <x:c r="M1" s="6"/>
      <x:c r="N1" s="6"/>
    </x:row>
    <x:row r="2" ht="28" customHeight="1">
      <x:c r="A2" s="6"/>
      <x:c r="B2" s="6"/>
      <x:c r="C2" s="6"/>
      <x:c r="D2" s="6"/>
      <x:c r="E2" s="6"/>
      <x:c r="F2" s="6"/>
      <x:c r="G2" s="6"/>
      <x:c r="H2" s="6"/>
      <x:c r="I2" s="6"/>
      <x:c r="J2" s="6"/>
      <x:c r="K2" s="6"/>
      <x:c r="L2" s="6"/>
      <x:c r="M2" s="6"/>
      <x:c r="N2" s="6"/>
    </x:row>
    <x:row r="3" ht="24" customHeight="1">
      <x:c r="A3" s="16" t="str">
        <x:v>Alcaldía Municipal de San Pedro, Valle del Cauca | NIT 800.100.526-3
Cumplimiento transitorio del numeral ITA 3.5: formatos o modelos de contrato y pliegos tipo</x:v>
      </x:c>
      <x:c r="B3" s="16"/>
      <x:c r="C3" s="16"/>
      <x:c r="D3" s="16"/>
      <x:c r="E3" s="16"/>
      <x:c r="F3" s="16"/>
      <x:c r="G3" s="16"/>
      <x:c r="H3" s="16"/>
      <x:c r="I3" s="16"/>
      <x:c r="J3" s="16"/>
      <x:c r="K3" s="16"/>
      <x:c r="L3" s="16"/>
      <x:c r="M3" s="16"/>
      <x:c r="N3" s="16"/>
    </x:row>
    <x:row r="4" ht="24" customHeight="1">
      <x:c r="A4" s="16"/>
      <x:c r="B4" s="16"/>
      <x:c r="C4" s="16"/>
      <x:c r="D4" s="16"/>
      <x:c r="E4" s="16"/>
      <x:c r="F4" s="16"/>
      <x:c r="G4" s="16"/>
      <x:c r="H4" s="16"/>
      <x:c r="I4" s="16"/>
      <x:c r="J4" s="16"/>
      <x:c r="K4" s="16"/>
      <x:c r="L4" s="16"/>
      <x:c r="M4" s="16"/>
      <x:c r="N4" s="16"/>
    </x:row>
    <x:row r="6">
      <x:c r="A6" s="25" t="str">
        <x:v>Formatos del paquete</x:v>
      </x:c>
      <x:c r="B6" s="25"/>
      <x:c r="C6" s="25"/>
      <x:c r="D6" s="25" t="str">
        <x:v>En proceso de aprobación</x:v>
      </x:c>
      <x:c r="E6" s="25"/>
      <x:c r="F6" s="25"/>
      <x:c r="G6" s="25" t="str">
        <x:v>Aprobados y vigentes</x:v>
      </x:c>
      <x:c r="H6" s="25"/>
      <x:c r="I6" s="25"/>
      <x:c r="J6" s="25" t="str">
        <x:v>Publicables como borrador</x:v>
      </x:c>
      <x:c r="K6" s="25"/>
      <x:c r="L6" s="25"/>
      <x:c r="M6" s="25" t="str">
        <x:v>Avance promedio aprobación</x:v>
      </x:c>
      <x:c r="N6" s="25"/>
    </x:row>
    <x:row r="7">
      <x:c r="A7" s="38" t="n">
        <x:f>COUNTA('Catálogo formatos'!B2:B24)</x:f>
        <x:v>23</x:v>
      </x:c>
      <x:c r="B7" s="38"/>
      <x:c r="C7" s="38"/>
      <x:c r="D7" s="38" t="n">
        <x:f>COUNTIF('Catálogo formatos'!L2:L24,"En proceso de aprobación")</x:f>
        <x:v>23</x:v>
      </x:c>
      <x:c r="E7" s="38"/>
      <x:c r="F7" s="38"/>
      <x:c r="G7" s="38" t="n">
        <x:f>COUNTIF('Catálogo formatos'!Q2:Q24,"APROBADO Y VIGENTE")</x:f>
        <x:v>0</x:v>
      </x:c>
      <x:c r="H7" s="38"/>
      <x:c r="I7" s="38"/>
      <x:c r="J7" s="38" t="n">
        <x:f>COUNTIF('Catálogo formatos'!Q2:Q24,"PUBLICABLE COMO BORRADOR TRANSITORIO")</x:f>
        <x:v>23</x:v>
      </x:c>
      <x:c r="K7" s="38"/>
      <x:c r="L7" s="38"/>
      <x:c r="M7" s="40" t="n">
        <x:f>AVERAGE('Catálogo formatos'!P2:P24)</x:f>
        <x:v>0</x:v>
      </x:c>
      <x:c r="N7" s="40"/>
    </x:row>
    <x:row r="8">
      <x:c r="A8" s="38"/>
      <x:c r="B8" s="38"/>
      <x:c r="C8" s="38"/>
      <x:c r="D8" s="38"/>
      <x:c r="E8" s="38"/>
      <x:c r="F8" s="38"/>
      <x:c r="G8" s="38"/>
      <x:c r="H8" s="38"/>
      <x:c r="I8" s="38"/>
      <x:c r="J8" s="38"/>
      <x:c r="K8" s="38"/>
      <x:c r="L8" s="38"/>
      <x:c r="M8" s="40"/>
      <x:c r="N8" s="40"/>
    </x:row>
    <x:row r="9">
      <x:c r="A9" s="38"/>
      <x:c r="B9" s="38"/>
      <x:c r="C9" s="38"/>
      <x:c r="D9" s="38"/>
      <x:c r="E9" s="38"/>
      <x:c r="F9" s="38"/>
      <x:c r="G9" s="38"/>
      <x:c r="H9" s="38"/>
      <x:c r="I9" s="38"/>
      <x:c r="J9" s="38"/>
      <x:c r="K9" s="38"/>
      <x:c r="L9" s="38"/>
      <x:c r="M9" s="40"/>
      <x:c r="N9" s="40"/>
    </x:row>
    <x:row r="11">
      <x:c r="A11" s="25" t="str">
        <x:v>ESTADO INSTITUCIONAL Y REGLAS DE PUBLICACIÓN</x:v>
      </x:c>
      <x:c r="B11" s="25"/>
      <x:c r="C11" s="25"/>
      <x:c r="D11" s="25"/>
      <x:c r="E11" s="25"/>
      <x:c r="F11" s="25"/>
      <x:c r="G11" s="25"/>
      <x:c r="H11" s="25"/>
      <x:c r="I11" s="25"/>
      <x:c r="J11" s="25"/>
      <x:c r="K11" s="25"/>
      <x:c r="L11" s="25"/>
      <x:c r="M11" s="25"/>
      <x:c r="N11" s="25"/>
    </x:row>
    <x:row r="12" ht="30" customHeight="1">
      <x:c r="A12" s="45" t="str">
        <x:v>Los documentos de este paquete son MODELOS VACÍOS, EDITABLES Y TRANSITORIOS. Se encuentran en proceso de revisión y aprobación jurídica, técnica, de calidad y archivística. Las Tablas de Retención Documental vigentes aportadas corresponden a una versión de 2013 y están en actualización; por ello, los códigos incluidos son referencias o códigos provisionales.
Paralelamente se encuentra en diseño el Aplicativo Institucional de Calidad y Gestión Documental Automática, que deberá parametrizar formatos, metadatos, códigos, versiones, flujos de aprobación, expediente electrónico, alertas, firmas, tableros e integración con la publicación ITA. Hasta su implementación, los formatos pueden publicarse con la advertencia institucional y deben adaptarse a cada proceso concreto.
Cuando resulte obligatorio un Documento Tipo de Colombia Compra Eficiente, la entidad debe usar la versión oficial vigente, que prevalece sobre cualquier modelo interno.</x:v>
      </x:c>
      <x:c r="B12" s="45"/>
      <x:c r="C12" s="45"/>
      <x:c r="D12" s="45"/>
      <x:c r="E12" s="45"/>
      <x:c r="F12" s="45"/>
      <x:c r="G12" s="45"/>
      <x:c r="H12" s="45"/>
      <x:c r="I12" s="45"/>
      <x:c r="J12" s="45"/>
      <x:c r="K12" s="45"/>
      <x:c r="L12" s="45"/>
      <x:c r="M12" s="45"/>
      <x:c r="N12" s="45"/>
    </x:row>
    <x:row r="13" ht="30" customHeight="1">
      <x:c r="A13" s="45"/>
      <x:c r="B13" s="45"/>
      <x:c r="C13" s="45"/>
      <x:c r="D13" s="45"/>
      <x:c r="E13" s="45"/>
      <x:c r="F13" s="45"/>
      <x:c r="G13" s="45"/>
      <x:c r="H13" s="45"/>
      <x:c r="I13" s="45"/>
      <x:c r="J13" s="45"/>
      <x:c r="K13" s="45"/>
      <x:c r="L13" s="45"/>
      <x:c r="M13" s="45"/>
      <x:c r="N13" s="45"/>
    </x:row>
    <x:row r="14" ht="30" customHeight="1">
      <x:c r="A14" s="45"/>
      <x:c r="B14" s="45"/>
      <x:c r="C14" s="45"/>
      <x:c r="D14" s="45"/>
      <x:c r="E14" s="45"/>
      <x:c r="F14" s="45"/>
      <x:c r="G14" s="45"/>
      <x:c r="H14" s="45"/>
      <x:c r="I14" s="45"/>
      <x:c r="J14" s="45"/>
      <x:c r="K14" s="45"/>
      <x:c r="L14" s="45"/>
      <x:c r="M14" s="45"/>
      <x:c r="N14" s="45"/>
    </x:row>
    <x:row r="15" ht="30" customHeight="1">
      <x:c r="A15" s="45"/>
      <x:c r="B15" s="45"/>
      <x:c r="C15" s="45"/>
      <x:c r="D15" s="45"/>
      <x:c r="E15" s="45"/>
      <x:c r="F15" s="45"/>
      <x:c r="G15" s="45"/>
      <x:c r="H15" s="45"/>
      <x:c r="I15" s="45"/>
      <x:c r="J15" s="45"/>
      <x:c r="K15" s="45"/>
      <x:c r="L15" s="45"/>
      <x:c r="M15" s="45"/>
      <x:c r="N15" s="45"/>
    </x:row>
    <x:row r="16" ht="30" customHeight="1">
      <x:c r="A16" s="45"/>
      <x:c r="B16" s="45"/>
      <x:c r="C16" s="45"/>
      <x:c r="D16" s="45"/>
      <x:c r="E16" s="45"/>
      <x:c r="F16" s="45"/>
      <x:c r="G16" s="45"/>
      <x:c r="H16" s="45"/>
      <x:c r="I16" s="45"/>
      <x:c r="J16" s="45"/>
      <x:c r="K16" s="45"/>
      <x:c r="L16" s="45"/>
      <x:c r="M16" s="45"/>
      <x:c r="N16" s="45"/>
    </x:row>
    <x:row r="17" ht="30" customHeight="1">
      <x:c r="A17" s="45"/>
      <x:c r="B17" s="45"/>
      <x:c r="C17" s="45"/>
      <x:c r="D17" s="45"/>
      <x:c r="E17" s="45"/>
      <x:c r="F17" s="45"/>
      <x:c r="G17" s="45"/>
      <x:c r="H17" s="45"/>
      <x:c r="I17" s="45"/>
      <x:c r="J17" s="45"/>
      <x:c r="K17" s="45"/>
      <x:c r="L17" s="45"/>
      <x:c r="M17" s="45"/>
      <x:c r="N17" s="45"/>
    </x:row>
    <x:row r="19">
      <x:c r="A19" s="25" t="str">
        <x:v>Etapa</x:v>
      </x:c>
      <x:c r="B19" s="25" t="str">
        <x:v>Cantidad</x:v>
      </x:c>
      <x:c r="C19" s="25" t="str">
        <x:v>Porcentaje</x:v>
      </x:c>
      <x:c r="D19" s="25" t="str">
        <x:v>Aprobados</x:v>
      </x:c>
      <x:c r="E19" s="25" t="str">
        <x:v>Pendientes</x:v>
      </x:c>
      <x:c r="F19" s="25" t="str">
        <x:v>Carpeta</x:v>
      </x:c>
    </x:row>
    <x:row r="20">
      <x:c r="A20" s="52" t="str">
        <x:v>Guía y publicación</x:v>
      </x:c>
      <x:c r="B20" s="52" t="n">
        <x:f>COUNTIF('Catálogo formatos'!A2:A24,A20)</x:f>
        <x:v>2</x:v>
      </x:c>
      <x:c r="C20" s="56" t="n">
        <x:f>B20/$B$26</x:f>
        <x:v>0.08695652173913043</x:v>
      </x:c>
      <x:c r="D20" s="52" t="n">
        <x:f>COUNTIFS('Catálogo formatos'!A2:A24,A20,'Catálogo formatos'!Q2:Q24,"APROBADO Y VIGENTE")</x:f>
        <x:v>0</x:v>
      </x:c>
      <x:c r="E20" s="52" t="n">
        <x:f>B20-D20</x:f>
        <x:v>2</x:v>
      </x:c>
      <x:c r="F20" s="52" t="str">
        <x:v>00_Guia_y_Publicacion</x:v>
      </x:c>
    </x:row>
    <x:row r="21">
      <x:c r="A21" s="52" t="str">
        <x:v>Planeación precontractual</x:v>
      </x:c>
      <x:c r="B21" s="52" t="n">
        <x:f>COUNTIF('Catálogo formatos'!A2:A24,A21)</x:f>
        <x:v>3</x:v>
      </x:c>
      <x:c r="C21" s="56" t="n">
        <x:f>B21/$B$26</x:f>
        <x:v>0.13043478260869565</x:v>
      </x:c>
      <x:c r="D21" s="52" t="n">
        <x:f>COUNTIFS('Catálogo formatos'!A2:A24,A21,'Catálogo formatos'!Q2:Q24,"APROBADO Y VIGENTE")</x:f>
        <x:v>0</x:v>
      </x:c>
      <x:c r="E21" s="52" t="n">
        <x:f>B21-D21</x:f>
        <x:v>3</x:v>
      </x:c>
      <x:c r="F21" s="52" t="str">
        <x:v>01_Planeacion_Precontractual</x:v>
      </x:c>
    </x:row>
    <x:row r="22">
      <x:c r="A22" s="52" t="str">
        <x:v>Pliegos y selección</x:v>
      </x:c>
      <x:c r="B22" s="52" t="n">
        <x:f>COUNTIF('Catálogo formatos'!A2:A24,A22)</x:f>
        <x:v>3</x:v>
      </x:c>
      <x:c r="C22" s="56" t="n">
        <x:f>B22/$B$26</x:f>
        <x:v>0.13043478260869565</x:v>
      </x:c>
      <x:c r="D22" s="52" t="n">
        <x:f>COUNTIFS('Catálogo formatos'!A2:A24,A22,'Catálogo formatos'!Q2:Q24,"APROBADO Y VIGENTE")</x:f>
        <x:v>0</x:v>
      </x:c>
      <x:c r="E22" s="52" t="n">
        <x:f>B22-D22</x:f>
        <x:v>3</x:v>
      </x:c>
      <x:c r="F22" s="52" t="str">
        <x:v>02_Pliegos_y_Seleccion</x:v>
      </x:c>
    </x:row>
    <x:row r="23">
      <x:c r="A23" s="52" t="str">
        <x:v>Modelos de contrato</x:v>
      </x:c>
      <x:c r="B23" s="52" t="n">
        <x:f>COUNTIF('Catálogo formatos'!A2:A24,A23)</x:f>
        <x:v>5</x:v>
      </x:c>
      <x:c r="C23" s="56" t="n">
        <x:f>B23/$B$26</x:f>
        <x:v>0.21739130434782608</x:v>
      </x:c>
      <x:c r="D23" s="52" t="n">
        <x:f>COUNTIFS('Catálogo formatos'!A2:A24,A23,'Catálogo formatos'!Q2:Q24,"APROBADO Y VIGENTE")</x:f>
        <x:v>0</x:v>
      </x:c>
      <x:c r="E23" s="52" t="n">
        <x:f>B23-D23</x:f>
        <x:v>5</x:v>
      </x:c>
      <x:c r="F23" s="52" t="str">
        <x:v>03_Modelos_de_Contrato</x:v>
      </x:c>
    </x:row>
    <x:row r="24">
      <x:c r="A24" s="52" t="str">
        <x:v>Ejecución y supervisión</x:v>
      </x:c>
      <x:c r="B24" s="52" t="n">
        <x:f>COUNTIF('Catálogo formatos'!A2:A24,A24)</x:f>
        <x:v>7</x:v>
      </x:c>
      <x:c r="C24" s="56" t="n">
        <x:f>B24/$B$26</x:f>
        <x:v>0.30434782608695654</x:v>
      </x:c>
      <x:c r="D24" s="52" t="n">
        <x:f>COUNTIFS('Catálogo formatos'!A2:A24,A24,'Catálogo formatos'!Q2:Q24,"APROBADO Y VIGENTE")</x:f>
        <x:v>0</x:v>
      </x:c>
      <x:c r="E24" s="52" t="n">
        <x:f>B24-D24</x:f>
        <x:v>7</x:v>
      </x:c>
      <x:c r="F24" s="52" t="str">
        <x:v>04_Ejecucion_y_Supervision</x:v>
      </x:c>
    </x:row>
    <x:row r="25">
      <x:c r="A25" s="52" t="str">
        <x:v>Cierre y archivo</x:v>
      </x:c>
      <x:c r="B25" s="52" t="n">
        <x:f>COUNTIF('Catálogo formatos'!A2:A24,A25)</x:f>
        <x:v>3</x:v>
      </x:c>
      <x:c r="C25" s="56" t="n">
        <x:f>B25/$B$26</x:f>
        <x:v>0.13043478260869565</x:v>
      </x:c>
      <x:c r="D25" s="52" t="n">
        <x:f>COUNTIFS('Catálogo formatos'!A2:A24,A25,'Catálogo formatos'!Q2:Q24,"APROBADO Y VIGENTE")</x:f>
        <x:v>0</x:v>
      </x:c>
      <x:c r="E25" s="52" t="n">
        <x:f>B25-D25</x:f>
        <x:v>3</x:v>
      </x:c>
      <x:c r="F25" s="52" t="str">
        <x:v>05_Cierre_y_Archivo</x:v>
      </x:c>
    </x:row>
    <x:row r="26">
      <x:c r="A26" s="62" t="str">
        <x:v>TOTAL</x:v>
      </x:c>
      <x:c r="B26" s="62" t="n">
        <x:f>SUM(B20:B25)</x:f>
        <x:v>23</x:v>
      </x:c>
      <x:c r="C26" s="63" t="n">
        <x:f>SUM(C20:C25)</x:f>
        <x:v>1</x:v>
      </x:c>
      <x:c r="D26" s="62" t="n">
        <x:f>SUM(D20:D25)</x:f>
        <x:v>0</x:v>
      </x:c>
      <x:c r="E26" s="62" t="n">
        <x:f>SUM(E20:E25)</x:f>
        <x:v>23</x:v>
      </x:c>
      <x:c r="F26" s="62" t="str">
        <x:v>Paquete completo</x:v>
      </x:c>
    </x:row>
    <x:row r="29">
      <x:c r="A29" s="25" t="str">
        <x:v>RUTA DE IMPLEMENTACIÓN</x:v>
      </x:c>
      <x:c r="B29" s="25"/>
      <x:c r="C29" s="25"/>
      <x:c r="D29" s="25"/>
      <x:c r="E29" s="25"/>
      <x:c r="F29" s="25"/>
    </x:row>
    <x:row r="30">
      <x:c r="A30" s="52" t="str">
        <x:v>1</x:v>
      </x:c>
      <x:c r="B30" s="52" t="str">
        <x:v>Publicación transitoria</x:v>
      </x:c>
      <x:c r="C30" s="52" t="str">
        <x:v>Publicar ZIP, matriz, guía y modelos con advertencia visible.</x:v>
      </x:c>
      <x:c r="D30" s="52" t="str">
        <x:v>En ejecución</x:v>
      </x:c>
    </x:row>
    <x:row r="31">
      <x:c r="A31" s="52" t="str">
        <x:v>2</x:v>
      </x:c>
      <x:c r="B31" s="52" t="str">
        <x:v>Revisión integral</x:v>
      </x:c>
      <x:c r="C31" s="52" t="str">
        <x:v>Revisión jurídica, técnica, financiera, calidad, archivo y protección de datos.</x:v>
      </x:c>
      <x:c r="D31" s="52" t="str">
        <x:v>Pendiente</x:v>
      </x:c>
    </x:row>
    <x:row r="32">
      <x:c r="A32" s="52" t="str">
        <x:v>3</x:v>
      </x:c>
      <x:c r="B32" s="52" t="str">
        <x:v>Actualización TRD</x:v>
      </x:c>
      <x:c r="C32" s="52" t="str">
        <x:v>Validar estructura orgánica, series, subseries, tipos, tiempos y disposición.</x:v>
      </x:c>
      <x:c r="D32" s="52" t="str">
        <x:v>En proceso</x:v>
      </x:c>
    </x:row>
    <x:row r="33">
      <x:c r="A33" s="52" t="str">
        <x:v>4</x:v>
      </x:c>
      <x:c r="B33" s="52" t="str">
        <x:v>Aprobación institucional</x:v>
      </x:c>
      <x:c r="C33" s="52" t="str">
        <x:v>Asignar códigos definitivos, versión, fecha de vigencia y responsables.</x:v>
      </x:c>
      <x:c r="D33" s="52" t="str">
        <x:v>Pendiente</x:v>
      </x:c>
    </x:row>
    <x:row r="34">
      <x:c r="A34" s="52" t="str">
        <x:v>5</x:v>
      </x:c>
      <x:c r="B34" s="52" t="str">
        <x:v>Aplicativo automático</x:v>
      </x:c>
      <x:c r="C34" s="52" t="str">
        <x:v>Construir, probar, parametrizar, capacitar y desplegar el sistema.</x:v>
      </x:c>
      <x:c r="D34" s="52" t="str">
        <x:v>Diseño funcional</x:v>
      </x:c>
    </x:row>
    <x:row r="35">
      <x:c r="A35" s="52" t="str">
        <x:v>6</x:v>
      </x:c>
      <x:c r="B35" s="52" t="str">
        <x:v>Sustitución controlada</x:v>
      </x:c>
      <x:c r="C35" s="52" t="str">
        <x:v>Reemplazar borradores publicados por versiones oficiales aprobadas.</x:v>
      </x:c>
      <x:c r="D35" s="52" t="str">
        <x:v>Pendiente</x:v>
      </x:c>
    </x:row>
  </x:sheetData>
  <x:mergeCells>
    <x:mergeCell ref="A1:N2"/>
    <x:mergeCell ref="A3:N4"/>
    <x:mergeCell ref="A6:C6"/>
    <x:mergeCell ref="A7:C9"/>
    <x:mergeCell ref="D6:F6"/>
    <x:mergeCell ref="D7:F9"/>
    <x:mergeCell ref="G6:I6"/>
    <x:mergeCell ref="G7:I9"/>
    <x:mergeCell ref="J6:L6"/>
    <x:mergeCell ref="J7:L9"/>
    <x:mergeCell ref="M6:N6"/>
    <x:mergeCell ref="M7:N9"/>
    <x:mergeCell ref="A11:N11"/>
    <x:mergeCell ref="A12:N17"/>
    <x:mergeCell ref="A29:F29"/>
  </x:mergeCells>
  <x:pageMargins left="0.7" right="0.7" top="0.75" bottom="0.75" header="0.3" footer="0.3"/>
  <x:drawing xmlns:r="http://schemas.openxmlformats.org/officeDocument/2006/relationships" r:id="Rda99bcd681e041a6"/>
</x:worksheet>
</file>

<file path=xl/worksheets/sheet2.xml><?xml version="1.0" encoding="utf-8"?>
<x:worksheet xmlns:x="http://schemas.openxmlformats.org/spreadsheetml/2006/main">
  <x:sheetFormatPr defaultRowHeight="15"/>
  <x:cols>
    <x:col min="1" max="1" width="24" hidden="0" customWidth="1"/>
    <x:col min="2" max="2" width="18" hidden="0" customWidth="1"/>
    <x:col min="3" max="3" width="42" hidden="0" customWidth="1"/>
    <x:col min="4" max="4" width="42" hidden="0" customWidth="1"/>
    <x:col min="5" max="5" width="23" hidden="0" customWidth="1"/>
    <x:col min="6" max="6" width="18" hidden="0" customWidth="1"/>
    <x:col min="7" max="7" width="27" hidden="0" customWidth="1"/>
    <x:col min="8" max="8" width="48" hidden="0" customWidth="1"/>
    <x:col min="9" max="9" width="9" hidden="0" customWidth="1"/>
    <x:col min="10" max="10" width="13" hidden="0" customWidth="1"/>
    <x:col min="11" max="11" width="19" hidden="0" customWidth="1"/>
    <x:col min="12" max="12" width="24" hidden="0" customWidth="1"/>
    <x:col min="13" max="13" width="16" hidden="0" customWidth="1"/>
    <x:col min="14" max="14" width="18" hidden="0" customWidth="1"/>
    <x:col min="15" max="15" width="18" hidden="0" customWidth="1"/>
    <x:col min="16" max="16" width="12" hidden="0" customWidth="1"/>
    <x:col min="17" max="17" width="31" hidden="0" customWidth="1"/>
    <x:col min="18" max="18" width="22" hidden="0" customWidth="1"/>
    <x:col min="19" max="19" width="30" hidden="0" customWidth="1"/>
    <x:col min="20" max="20" width="48" hidden="0" customWidth="1"/>
    <x:col min="21" max="21" width="33" hidden="0" customWidth="1"/>
    <x:col min="22" max="22" width="22" hidden="0" customWidth="1"/>
    <x:col min="23" max="23" width="43" hidden="0" customWidth="1"/>
  </x:cols>
  <x:sheetData>
    <x:row r="1" ht="46" customHeight="1">
      <x:c r="A1" s="25" t="str">
        <x:v>Grupo</x:v>
      </x:c>
      <x:c r="B1" s="25" t="str">
        <x:v>Código provisional</x:v>
      </x:c>
      <x:c r="C1" s="25" t="str">
        <x:v>Archivo</x:v>
      </x:c>
      <x:c r="D1" s="25" t="str">
        <x:v>Nombre del formato o modelo</x:v>
      </x:c>
      <x:c r="E1" s="25" t="str">
        <x:v>Naturaleza</x:v>
      </x:c>
      <x:c r="F1" s="25" t="str">
        <x:v>Etapa</x:v>
      </x:c>
      <x:c r="G1" s="25" t="str">
        <x:v>Referencia TRD</x:v>
      </x:c>
      <x:c r="H1" s="25" t="str">
        <x:v>Finalidad / alcance</x:v>
      </x:c>
      <x:c r="I1" s="25" t="str">
        <x:v>Versión</x:v>
      </x:c>
      <x:c r="J1" s="25" t="str">
        <x:v>Fecha de emisión</x:v>
      </x:c>
      <x:c r="K1" s="25" t="str">
        <x:v>Carácter</x:v>
      </x:c>
      <x:c r="L1" s="25" t="str">
        <x:v>Estado institucional</x:v>
      </x:c>
      <x:c r="M1" s="25" t="str">
        <x:v>Revisión jurídica</x:v>
      </x:c>
      <x:c r="N1" s="25" t="str">
        <x:v>Revisión técnica / calidad</x:v>
      </x:c>
      <x:c r="O1" s="25" t="str">
        <x:v>Revisión archivística</x:v>
      </x:c>
      <x:c r="P1" s="25" t="str">
        <x:v>% aprobación</x:v>
      </x:c>
      <x:c r="Q1" s="25" t="str">
        <x:v>Decisión de publicación</x:v>
      </x:c>
      <x:c r="R1" s="25" t="str">
        <x:v>Publicable transitoriamente</x:v>
      </x:c>
      <x:c r="S1" s="25" t="str">
        <x:v>Responsable de actualización</x:v>
      </x:c>
      <x:c r="T1" s="25" t="str">
        <x:v>Ruta relativa del archivo</x:v>
      </x:c>
      <x:c r="U1" s="25" t="str">
        <x:v>Documento Tipo CCE</x:v>
      </x:c>
      <x:c r="V1" s="25" t="str">
        <x:v>Periodicidad de revisión</x:v>
      </x:c>
      <x:c r="W1" s="25" t="str">
        <x:v>Observación de control</x:v>
      </x:c>
    </x:row>
    <x:row r="2" ht="64" customHeight="1">
      <x:c r="A2" s="52" t="str">
        <x:v>Guía y publicación</x:v>
      </x:c>
      <x:c r="B2" s="52" t="str">
        <x:v>JC-GU-01-PROV</x:v>
      </x:c>
      <x:c r="C2" s="52" t="str">
        <x:v>00_Guia_Publicacion_Uso_Transitorio_ITA_3_5.docx</x:v>
      </x:c>
      <x:c r="D2" s="52" t="str">
        <x:v>Guía de publicación y uso transitorio de formatos contractuales</x:v>
      </x:c>
      <x:c r="E2" s="52" t="str">
        <x:v>Guía institucional</x:v>
      </x:c>
      <x:c r="F2" s="52" t="str">
        <x:v>Transversal</x:v>
      </x:c>
      <x:c r="G2" s="52" t="str">
        <x:v>230-15 / 230-37 / 230-52</x:v>
      </x:c>
      <x:c r="H2" s="52" t="str">
        <x:v>Define alcance, reglas, advertencias, publicación y transición al aplicativo.</x:v>
      </x:c>
      <x:c r="I2" s="52" t="str">
        <x:v>0.1</x:v>
      </x:c>
      <x:c r="J2" s="70" t="n">
        <x:v>46234</x:v>
      </x:c>
      <x:c r="K2" s="52" t="str">
        <x:v>Borrador transitorio</x:v>
      </x:c>
      <x:c r="L2" s="52" t="str">
        <x:v>En proceso de aprobación</x:v>
      </x:c>
      <x:c r="M2" s="52" t="str">
        <x:v>Pendiente</x:v>
      </x:c>
      <x:c r="N2" s="52" t="str">
        <x:v>Pendiente</x:v>
      </x:c>
      <x:c r="O2" s="52" t="str">
        <x:v>Pendiente</x:v>
      </x:c>
      <x:c r="P2" s="72" t="n">
        <x:f>COUNTIF(M2:O2,"Aprobado")/3</x:f>
        <x:v>0</x:v>
      </x:c>
      <x:c r="Q2" s="52" t="str">
        <x:f>IF(P2=1,"APROBADO Y VIGENTE",IF(L2="En proceso de aprobación","PUBLICABLE COMO BORRADOR TRANSITORIO","NO PUBLICAR"))</x:f>
        <x:v>PUBLICABLE COMO BORRADOR TRANSITORIO</x:v>
      </x:c>
      <x:c r="R2" s="52" t="str">
        <x:v>Sí, con advertencia</x:v>
      </x:c>
      <x:c r="S2" s="52" t="str">
        <x:v>Líder del proceso Jurídica y Contratación</x:v>
      </x:c>
      <x:c r="T2" s="52" t="str">
        <x:v>00_Guia_y_Publicacion/00_Guia_Publicacion_Uso_Transitorio_ITA_3_5.docx</x:v>
      </x:c>
      <x:c r="U2" s="52" t="str">
        <x:v>Verificar en cada proceso</x:v>
      </x:c>
      <x:c r="V2" s="52" t="str">
        <x:v>Trimestral y ante cambio normativo</x:v>
      </x:c>
      <x:c r="W2" s="52" t="str">
        <x:v>Sustituir por versión aprobada cuando culmine el proceso institucional.</x:v>
      </x:c>
    </x:row>
    <x:row r="3" ht="64" customHeight="1">
      <x:c r="A3" s="52" t="str">
        <x:v>Planeación precontractual</x:v>
      </x:c>
      <x:c r="B3" s="52" t="str">
        <x:v>JC-FT-01-PROV</x:v>
      </x:c>
      <x:c r="C3" s="52" t="str">
        <x:v>01_Formato_Estudios_Documentos_Previos.docx</x:v>
      </x:c>
      <x:c r="D3" s="52" t="str">
        <x:v>Formato de estudios y documentos previos</x:v>
      </x:c>
      <x:c r="E3" s="52" t="str">
        <x:v>Formato</x:v>
      </x:c>
      <x:c r="F3" s="52" t="str">
        <x:v>Planeación</x:v>
      </x:c>
      <x:c r="G3" s="52" t="str">
        <x:v>230-15 según tipología contractual</x:v>
      </x:c>
      <x:c r="H3" s="52" t="str">
        <x:v>Estructura integral de necesidad, objeto, modalidad, valor, riesgos, garantías y análisis.</x:v>
      </x:c>
      <x:c r="I3" s="52" t="str">
        <x:v>0.1</x:v>
      </x:c>
      <x:c r="J3" s="70" t="n">
        <x:v>46234</x:v>
      </x:c>
      <x:c r="K3" s="52" t="str">
        <x:v>Borrador transitorio</x:v>
      </x:c>
      <x:c r="L3" s="52" t="str">
        <x:v>En proceso de aprobación</x:v>
      </x:c>
      <x:c r="M3" s="52" t="str">
        <x:v>Pendiente</x:v>
      </x:c>
      <x:c r="N3" s="52" t="str">
        <x:v>Pendiente</x:v>
      </x:c>
      <x:c r="O3" s="52" t="str">
        <x:v>Pendiente</x:v>
      </x:c>
      <x:c r="P3" s="72" t="n">
        <x:f>COUNTIF(M3:O3,"Aprobado")/3</x:f>
        <x:v>0</x:v>
      </x:c>
      <x:c r="Q3" s="52" t="str">
        <x:f>IF(P3=1,"APROBADO Y VIGENTE",IF(L3="En proceso de aprobación","PUBLICABLE COMO BORRADOR TRANSITORIO","NO PUBLICAR"))</x:f>
        <x:v>PUBLICABLE COMO BORRADOR TRANSITORIO</x:v>
      </x:c>
      <x:c r="R3" s="52" t="str">
        <x:v>Sí, con advertencia</x:v>
      </x:c>
      <x:c r="S3" s="52" t="str">
        <x:v>Líder del proceso Jurídica y Contratación</x:v>
      </x:c>
      <x:c r="T3" s="52" t="str">
        <x:v>01_Planeacion_Precontractual/01_Formato_Estudios_Documentos_Previos.docx</x:v>
      </x:c>
      <x:c r="U3" s="52" t="str">
        <x:v>Verificar en cada proceso</x:v>
      </x:c>
      <x:c r="V3" s="52" t="str">
        <x:v>Trimestral y ante cambio normativo</x:v>
      </x:c>
      <x:c r="W3" s="52" t="str">
        <x:v>Sustituir por versión aprobada cuando culmine el proceso institucional.</x:v>
      </x:c>
    </x:row>
    <x:row r="4" ht="64" customHeight="1">
      <x:c r="A4" s="52" t="str">
        <x:v>Planeación precontractual</x:v>
      </x:c>
      <x:c r="B4" s="52" t="str">
        <x:v>JC-FT-02-PROV</x:v>
      </x:c>
      <x:c r="C4" s="52" t="str">
        <x:v>02_Formato_Analisis_Sector_Estudio_Mercado.docx</x:v>
      </x:c>
      <x:c r="D4" s="52" t="str">
        <x:v>Formato de análisis del sector y estudio de mercado</x:v>
      </x:c>
      <x:c r="E4" s="52" t="str">
        <x:v>Formato</x:v>
      </x:c>
      <x:c r="F4" s="52" t="str">
        <x:v>Planeación</x:v>
      </x:c>
      <x:c r="G4" s="52" t="str">
        <x:v>230-15 - expediente contractual</x:v>
      </x:c>
      <x:c r="H4" s="52" t="str">
        <x:v>Análisis económico, técnico, oferta, demanda, precios, fuentes y conclusiones.</x:v>
      </x:c>
      <x:c r="I4" s="52" t="str">
        <x:v>0.1</x:v>
      </x:c>
      <x:c r="J4" s="70" t="n">
        <x:v>46234</x:v>
      </x:c>
      <x:c r="K4" s="52" t="str">
        <x:v>Borrador transitorio</x:v>
      </x:c>
      <x:c r="L4" s="52" t="str">
        <x:v>En proceso de aprobación</x:v>
      </x:c>
      <x:c r="M4" s="52" t="str">
        <x:v>Pendiente</x:v>
      </x:c>
      <x:c r="N4" s="52" t="str">
        <x:v>Pendiente</x:v>
      </x:c>
      <x:c r="O4" s="52" t="str">
        <x:v>Pendiente</x:v>
      </x:c>
      <x:c r="P4" s="72" t="n">
        <x:f>COUNTIF(M4:O4,"Aprobado")/3</x:f>
        <x:v>0</x:v>
      </x:c>
      <x:c r="Q4" s="52" t="str">
        <x:f>IF(P4=1,"APROBADO Y VIGENTE",IF(L4="En proceso de aprobación","PUBLICABLE COMO BORRADOR TRANSITORIO","NO PUBLICAR"))</x:f>
        <x:v>PUBLICABLE COMO BORRADOR TRANSITORIO</x:v>
      </x:c>
      <x:c r="R4" s="52" t="str">
        <x:v>Sí, con advertencia</x:v>
      </x:c>
      <x:c r="S4" s="52" t="str">
        <x:v>Líder del proceso Jurídica y Contratación</x:v>
      </x:c>
      <x:c r="T4" s="52" t="str">
        <x:v>01_Planeacion_Precontractual/02_Formato_Analisis_Sector_Estudio_Mercado.docx</x:v>
      </x:c>
      <x:c r="U4" s="52" t="str">
        <x:v>Verificar en cada proceso</x:v>
      </x:c>
      <x:c r="V4" s="52" t="str">
        <x:v>Trimestral y ante cambio normativo</x:v>
      </x:c>
      <x:c r="W4" s="52" t="str">
        <x:v>Sustituir por versión aprobada cuando culmine el proceso institucional.</x:v>
      </x:c>
    </x:row>
    <x:row r="5" ht="64" customHeight="1">
      <x:c r="A5" s="52" t="str">
        <x:v>Planeación precontractual</x:v>
      </x:c>
      <x:c r="B5" s="52" t="str">
        <x:v>JC-FT-03-PROV</x:v>
      </x:c>
      <x:c r="C5" s="52" t="str">
        <x:v>03_Ficha_Aplicabilidad_Documentos_Tipo.docx</x:v>
      </x:c>
      <x:c r="D5" s="52" t="str">
        <x:v>Ficha de aplicabilidad de Documentos Tipo</x:v>
      </x:c>
      <x:c r="E5" s="52" t="str">
        <x:v>Ficha de control</x:v>
      </x:c>
      <x:c r="F5" s="52" t="str">
        <x:v>Planeación</x:v>
      </x:c>
      <x:c r="G5" s="52" t="str">
        <x:v>230-15 - expediente contractual</x:v>
      </x:c>
      <x:c r="H5" s="52" t="str">
        <x:v>Verificación obligatoria previa de alcance, modalidad, sector y versión vigente de CCE.</x:v>
      </x:c>
      <x:c r="I5" s="52" t="str">
        <x:v>0.1</x:v>
      </x:c>
      <x:c r="J5" s="70" t="n">
        <x:v>46234</x:v>
      </x:c>
      <x:c r="K5" s="52" t="str">
        <x:v>Borrador transitorio</x:v>
      </x:c>
      <x:c r="L5" s="52" t="str">
        <x:v>En proceso de aprobación</x:v>
      </x:c>
      <x:c r="M5" s="52" t="str">
        <x:v>Pendiente</x:v>
      </x:c>
      <x:c r="N5" s="52" t="str">
        <x:v>Pendiente</x:v>
      </x:c>
      <x:c r="O5" s="52" t="str">
        <x:v>Pendiente</x:v>
      </x:c>
      <x:c r="P5" s="72" t="n">
        <x:f>COUNTIF(M5:O5,"Aprobado")/3</x:f>
        <x:v>0</x:v>
      </x:c>
      <x:c r="Q5" s="52" t="str">
        <x:f>IF(P5=1,"APROBADO Y VIGENTE",IF(L5="En proceso de aprobación","PUBLICABLE COMO BORRADOR TRANSITORIO","NO PUBLICAR"))</x:f>
        <x:v>PUBLICABLE COMO BORRADOR TRANSITORIO</x:v>
      </x:c>
      <x:c r="R5" s="52" t="str">
        <x:v>Sí, con advertencia</x:v>
      </x:c>
      <x:c r="S5" s="52" t="str">
        <x:v>Líder del proceso Jurídica y Contratación</x:v>
      </x:c>
      <x:c r="T5" s="52" t="str">
        <x:v>01_Planeacion_Precontractual/03_Ficha_Aplicabilidad_Documentos_Tipo.docx</x:v>
      </x:c>
      <x:c r="U5" s="52" t="str">
        <x:v>Verificar aplicabilidad; prevalece la versión oficial CCE</x:v>
      </x:c>
      <x:c r="V5" s="52" t="str">
        <x:v>Trimestral y ante cambio normativo</x:v>
      </x:c>
      <x:c r="W5" s="52" t="str">
        <x:v>Sustituir por versión aprobada cuando culmine el proceso institucional.</x:v>
      </x:c>
    </x:row>
    <x:row r="6" ht="64" customHeight="1">
      <x:c r="A6" s="52" t="str">
        <x:v>Pliegos y selección</x:v>
      </x:c>
      <x:c r="B6" s="52" t="str">
        <x:v>JC-FT-04-PROV</x:v>
      </x:c>
      <x:c r="C6" s="52" t="str">
        <x:v>04_Modelo_Invitacion_Publica_Minima_Cuantia.docx</x:v>
      </x:c>
      <x:c r="D6" s="52" t="str">
        <x:v>Modelo de invitación pública de mínima cuantía</x:v>
      </x:c>
      <x:c r="E6" s="52" t="str">
        <x:v>Modelo de documento de selección</x:v>
      </x:c>
      <x:c r="F6" s="52" t="str">
        <x:v>Selección</x:v>
      </x:c>
      <x:c r="G6" s="52" t="str">
        <x:v>230-15-03 / 04 / 05 / 06 según objeto</x:v>
      </x:c>
      <x:c r="H6" s="52" t="str">
        <x:v>Base adaptable para mínima cuantía; no sustituye el documento oficial publicado en SECOP.</x:v>
      </x:c>
      <x:c r="I6" s="52" t="str">
        <x:v>0.1</x:v>
      </x:c>
      <x:c r="J6" s="70" t="n">
        <x:v>46234</x:v>
      </x:c>
      <x:c r="K6" s="52" t="str">
        <x:v>Borrador transitorio</x:v>
      </x:c>
      <x:c r="L6" s="52" t="str">
        <x:v>En proceso de aprobación</x:v>
      </x:c>
      <x:c r="M6" s="52" t="str">
        <x:v>Pendiente</x:v>
      </x:c>
      <x:c r="N6" s="52" t="str">
        <x:v>Pendiente</x:v>
      </x:c>
      <x:c r="O6" s="52" t="str">
        <x:v>Pendiente</x:v>
      </x:c>
      <x:c r="P6" s="72" t="n">
        <x:f>COUNTIF(M6:O6,"Aprobado")/3</x:f>
        <x:v>0</x:v>
      </x:c>
      <x:c r="Q6" s="52" t="str">
        <x:f>IF(P6=1,"APROBADO Y VIGENTE",IF(L6="En proceso de aprobación","PUBLICABLE COMO BORRADOR TRANSITORIO","NO PUBLICAR"))</x:f>
        <x:v>PUBLICABLE COMO BORRADOR TRANSITORIO</x:v>
      </x:c>
      <x:c r="R6" s="52" t="str">
        <x:v>Sí, con advertencia</x:v>
      </x:c>
      <x:c r="S6" s="52" t="str">
        <x:v>Líder del proceso Jurídica y Contratación</x:v>
      </x:c>
      <x:c r="T6" s="52" t="str">
        <x:v>02_Pliegos_y_Seleccion/04_Modelo_Invitacion_Publica_Minima_Cuantia.docx</x:v>
      </x:c>
      <x:c r="U6" s="52" t="str">
        <x:v>Verificar en cada proceso</x:v>
      </x:c>
      <x:c r="V6" s="52" t="str">
        <x:v>Trimestral y ante cambio normativo</x:v>
      </x:c>
      <x:c r="W6" s="52" t="str">
        <x:v>Sustituir por versión aprobada cuando culmine el proceso institucional.</x:v>
      </x:c>
    </x:row>
    <x:row r="7" ht="64" customHeight="1">
      <x:c r="A7" s="52" t="str">
        <x:v>Pliegos y selección</x:v>
      </x:c>
      <x:c r="B7" s="52" t="str">
        <x:v>JC-FT-05-PROV</x:v>
      </x:c>
      <x:c r="C7" s="52" t="str">
        <x:v>05_Modelo_Base_Pliego_No_Sujeto_Documentos_Tipo.docx</x:v>
      </x:c>
      <x:c r="D7" s="52" t="str">
        <x:v>Modelo base de pliego para procesos no sujetos a Documentos Tipo</x:v>
      </x:c>
      <x:c r="E7" s="52" t="str">
        <x:v>Modelo de pliego</x:v>
      </x:c>
      <x:c r="F7" s="52" t="str">
        <x:v>Selección</x:v>
      </x:c>
      <x:c r="G7" s="52" t="str">
        <x:v>230-15-01 / 230-15 según tipología</x:v>
      </x:c>
      <x:c r="H7" s="52" t="str">
        <x:v>Solo se usa cuando se documente que no aplica un Documento Tipo obligatorio.</x:v>
      </x:c>
      <x:c r="I7" s="52" t="str">
        <x:v>0.1</x:v>
      </x:c>
      <x:c r="J7" s="70" t="n">
        <x:v>46234</x:v>
      </x:c>
      <x:c r="K7" s="52" t="str">
        <x:v>Borrador transitorio</x:v>
      </x:c>
      <x:c r="L7" s="52" t="str">
        <x:v>En proceso de aprobación</x:v>
      </x:c>
      <x:c r="M7" s="52" t="str">
        <x:v>Pendiente</x:v>
      </x:c>
      <x:c r="N7" s="52" t="str">
        <x:v>Pendiente</x:v>
      </x:c>
      <x:c r="O7" s="52" t="str">
        <x:v>Pendiente</x:v>
      </x:c>
      <x:c r="P7" s="72" t="n">
        <x:f>COUNTIF(M7:O7,"Aprobado")/3</x:f>
        <x:v>0</x:v>
      </x:c>
      <x:c r="Q7" s="52" t="str">
        <x:f>IF(P7=1,"APROBADO Y VIGENTE",IF(L7="En proceso de aprobación","PUBLICABLE COMO BORRADOR TRANSITORIO","NO PUBLICAR"))</x:f>
        <x:v>PUBLICABLE COMO BORRADOR TRANSITORIO</x:v>
      </x:c>
      <x:c r="R7" s="52" t="str">
        <x:v>Sí, con advertencia</x:v>
      </x:c>
      <x:c r="S7" s="52" t="str">
        <x:v>Líder del proceso Jurídica y Contratación</x:v>
      </x:c>
      <x:c r="T7" s="52" t="str">
        <x:v>02_Pliegos_y_Seleccion/05_Modelo_Base_Pliego_No_Sujeto_Documentos_Tipo.docx</x:v>
      </x:c>
      <x:c r="U7" s="52" t="str">
        <x:v>Verificar aplicabilidad; prevalece la versión oficial CCE</x:v>
      </x:c>
      <x:c r="V7" s="52" t="str">
        <x:v>Trimestral y ante cambio normativo</x:v>
      </x:c>
      <x:c r="W7" s="52" t="str">
        <x:v>Sustituir por versión aprobada cuando culmine el proceso institucional.</x:v>
      </x:c>
    </x:row>
    <x:row r="8" ht="64" customHeight="1">
      <x:c r="A8" s="52" t="str">
        <x:v>Pliegos y selección</x:v>
      </x:c>
      <x:c r="B8" s="52" t="str">
        <x:v>JC-FT-06-PROV</x:v>
      </x:c>
      <x:c r="C8" s="52" t="str">
        <x:v>06_Formato_Informe_Evaluacion_Ofertas.docx</x:v>
      </x:c>
      <x:c r="D8" s="52" t="str">
        <x:v>Formato de informe de evaluación de ofertas</x:v>
      </x:c>
      <x:c r="E8" s="52" t="str">
        <x:v>Formato</x:v>
      </x:c>
      <x:c r="F8" s="52" t="str">
        <x:v>Selección</x:v>
      </x:c>
      <x:c r="G8" s="52" t="str">
        <x:v>230-15 - evaluación de propuestas</x:v>
      </x:c>
      <x:c r="H8" s="52" t="str">
        <x:v>Consolidación jurídica, técnica, financiera, económica, subsanaciones y recomendación.</x:v>
      </x:c>
      <x:c r="I8" s="52" t="str">
        <x:v>0.1</x:v>
      </x:c>
      <x:c r="J8" s="70" t="n">
        <x:v>46234</x:v>
      </x:c>
      <x:c r="K8" s="52" t="str">
        <x:v>Borrador transitorio</x:v>
      </x:c>
      <x:c r="L8" s="52" t="str">
        <x:v>En proceso de aprobación</x:v>
      </x:c>
      <x:c r="M8" s="52" t="str">
        <x:v>Pendiente</x:v>
      </x:c>
      <x:c r="N8" s="52" t="str">
        <x:v>Pendiente</x:v>
      </x:c>
      <x:c r="O8" s="52" t="str">
        <x:v>Pendiente</x:v>
      </x:c>
      <x:c r="P8" s="72" t="n">
        <x:f>COUNTIF(M8:O8,"Aprobado")/3</x:f>
        <x:v>0</x:v>
      </x:c>
      <x:c r="Q8" s="52" t="str">
        <x:f>IF(P8=1,"APROBADO Y VIGENTE",IF(L8="En proceso de aprobación","PUBLICABLE COMO BORRADOR TRANSITORIO","NO PUBLICAR"))</x:f>
        <x:v>PUBLICABLE COMO BORRADOR TRANSITORIO</x:v>
      </x:c>
      <x:c r="R8" s="52" t="str">
        <x:v>Sí, con advertencia</x:v>
      </x:c>
      <x:c r="S8" s="52" t="str">
        <x:v>Líder del proceso Jurídica y Contratación</x:v>
      </x:c>
      <x:c r="T8" s="52" t="str">
        <x:v>02_Pliegos_y_Seleccion/06_Formato_Informe_Evaluacion_Ofertas.docx</x:v>
      </x:c>
      <x:c r="U8" s="52" t="str">
        <x:v>Verificar en cada proceso</x:v>
      </x:c>
      <x:c r="V8" s="52" t="str">
        <x:v>Trimestral y ante cambio normativo</x:v>
      </x:c>
      <x:c r="W8" s="52" t="str">
        <x:v>Sustituir por versión aprobada cuando culmine el proceso institucional.</x:v>
      </x:c>
    </x:row>
    <x:row r="9" ht="64" customHeight="1">
      <x:c r="A9" s="52" t="str">
        <x:v>Modelos de contrato</x:v>
      </x:c>
      <x:c r="B9" s="52" t="str">
        <x:v>JC-FT-07-PROV</x:v>
      </x:c>
      <x:c r="C9" s="52" t="str">
        <x:v>07_Modelo_Contrato_Servicios_Profesionales.docx</x:v>
      </x:c>
      <x:c r="D9" s="52" t="str">
        <x:v>Modelo de contrato de prestación de servicios profesionales</x:v>
      </x:c>
      <x:c r="E9" s="52" t="str">
        <x:v>Modelo de contrato</x:v>
      </x:c>
      <x:c r="F9" s="52" t="str">
        <x:v>Contratación</x:v>
      </x:c>
      <x:c r="G9" s="52" t="str">
        <x:v>230-15-02</x:v>
      </x:c>
      <x:c r="H9" s="52" t="str">
        <x:v>Modelo vacío con clausulado orientador para servicios profesionales.</x:v>
      </x:c>
      <x:c r="I9" s="52" t="str">
        <x:v>0.1</x:v>
      </x:c>
      <x:c r="J9" s="70" t="n">
        <x:v>46234</x:v>
      </x:c>
      <x:c r="K9" s="52" t="str">
        <x:v>Borrador transitorio</x:v>
      </x:c>
      <x:c r="L9" s="52" t="str">
        <x:v>En proceso de aprobación</x:v>
      </x:c>
      <x:c r="M9" s="52" t="str">
        <x:v>Pendiente</x:v>
      </x:c>
      <x:c r="N9" s="52" t="str">
        <x:v>Pendiente</x:v>
      </x:c>
      <x:c r="O9" s="52" t="str">
        <x:v>Pendiente</x:v>
      </x:c>
      <x:c r="P9" s="72" t="n">
        <x:f>COUNTIF(M9:O9,"Aprobado")/3</x:f>
        <x:v>0</x:v>
      </x:c>
      <x:c r="Q9" s="52" t="str">
        <x:f>IF(P9=1,"APROBADO Y VIGENTE",IF(L9="En proceso de aprobación","PUBLICABLE COMO BORRADOR TRANSITORIO","NO PUBLICAR"))</x:f>
        <x:v>PUBLICABLE COMO BORRADOR TRANSITORIO</x:v>
      </x:c>
      <x:c r="R9" s="52" t="str">
        <x:v>Sí, con advertencia</x:v>
      </x:c>
      <x:c r="S9" s="52" t="str">
        <x:v>Líder del proceso Jurídica y Contratación</x:v>
      </x:c>
      <x:c r="T9" s="52" t="str">
        <x:v>03_Modelos_de_Contrato/07_Modelo_Contrato_Servicios_Profesionales.docx</x:v>
      </x:c>
      <x:c r="U9" s="52" t="str">
        <x:v>Verificar en cada proceso</x:v>
      </x:c>
      <x:c r="V9" s="52" t="str">
        <x:v>Trimestral y ante cambio normativo</x:v>
      </x:c>
      <x:c r="W9" s="52" t="str">
        <x:v>Sustituir por versión aprobada cuando culmine el proceso institucional.</x:v>
      </x:c>
    </x:row>
    <x:row r="10" ht="64" customHeight="1">
      <x:c r="A10" s="52" t="str">
        <x:v>Modelos de contrato</x:v>
      </x:c>
      <x:c r="B10" s="52" t="str">
        <x:v>JC-FT-08-PROV</x:v>
      </x:c>
      <x:c r="C10" s="52" t="str">
        <x:v>08_Modelo_Contrato_Apoyo_Gestion.docx</x:v>
      </x:c>
      <x:c r="D10" s="52" t="str">
        <x:v>Modelo de contrato de prestación de servicios de apoyo a la gestión</x:v>
      </x:c>
      <x:c r="E10" s="52" t="str">
        <x:v>Modelo de contrato</x:v>
      </x:c>
      <x:c r="F10" s="52" t="str">
        <x:v>Contratación</x:v>
      </x:c>
      <x:c r="G10" s="52" t="str">
        <x:v>230-15-05</x:v>
      </x:c>
      <x:c r="H10" s="52" t="str">
        <x:v>Modelo vacío mejorado con productos, coordinación, independencia y control documental.</x:v>
      </x:c>
      <x:c r="I10" s="52" t="str">
        <x:v>0.1</x:v>
      </x:c>
      <x:c r="J10" s="70" t="n">
        <x:v>46234</x:v>
      </x:c>
      <x:c r="K10" s="52" t="str">
        <x:v>Borrador transitorio</x:v>
      </x:c>
      <x:c r="L10" s="52" t="str">
        <x:v>En proceso de aprobación</x:v>
      </x:c>
      <x:c r="M10" s="52" t="str">
        <x:v>Pendiente</x:v>
      </x:c>
      <x:c r="N10" s="52" t="str">
        <x:v>Pendiente</x:v>
      </x:c>
      <x:c r="O10" s="52" t="str">
        <x:v>Pendiente</x:v>
      </x:c>
      <x:c r="P10" s="72" t="n">
        <x:f>COUNTIF(M10:O10,"Aprobado")/3</x:f>
        <x:v>0</x:v>
      </x:c>
      <x:c r="Q10" s="52" t="str">
        <x:f>IF(P10=1,"APROBADO Y VIGENTE",IF(L10="En proceso de aprobación","PUBLICABLE COMO BORRADOR TRANSITORIO","NO PUBLICAR"))</x:f>
        <x:v>PUBLICABLE COMO BORRADOR TRANSITORIO</x:v>
      </x:c>
      <x:c r="R10" s="52" t="str">
        <x:v>Sí, con advertencia</x:v>
      </x:c>
      <x:c r="S10" s="52" t="str">
        <x:v>Líder del proceso Jurídica y Contratación</x:v>
      </x:c>
      <x:c r="T10" s="52" t="str">
        <x:v>03_Modelos_de_Contrato/08_Modelo_Contrato_Apoyo_Gestion.docx</x:v>
      </x:c>
      <x:c r="U10" s="52" t="str">
        <x:v>Verificar en cada proceso</x:v>
      </x:c>
      <x:c r="V10" s="52" t="str">
        <x:v>Trimestral y ante cambio normativo</x:v>
      </x:c>
      <x:c r="W10" s="52" t="str">
        <x:v>Sustituir por versión aprobada cuando culmine el proceso institucional.</x:v>
      </x:c>
    </x:row>
    <x:row r="11" ht="64" customHeight="1">
      <x:c r="A11" s="52" t="str">
        <x:v>Modelos de contrato</x:v>
      </x:c>
      <x:c r="B11" s="52" t="str">
        <x:v>JC-FT-09-PROV</x:v>
      </x:c>
      <x:c r="C11" s="52" t="str">
        <x:v>09_Modelo_Contrato_Suministro.docx</x:v>
      </x:c>
      <x:c r="D11" s="52" t="str">
        <x:v>Modelo de contrato de suministro</x:v>
      </x:c>
      <x:c r="E11" s="52" t="str">
        <x:v>Modelo de contrato</x:v>
      </x:c>
      <x:c r="F11" s="52" t="str">
        <x:v>Contratación</x:v>
      </x:c>
      <x:c r="G11" s="52" t="str">
        <x:v>230-15-04</x:v>
      </x:c>
      <x:c r="H11" s="52" t="str">
        <x:v>Modelo vacío para bienes de entrega sucesiva o periódica, con calidad, aceptación e inventarios.</x:v>
      </x:c>
      <x:c r="I11" s="52" t="str">
        <x:v>0.1</x:v>
      </x:c>
      <x:c r="J11" s="70" t="n">
        <x:v>46234</x:v>
      </x:c>
      <x:c r="K11" s="52" t="str">
        <x:v>Borrador transitorio</x:v>
      </x:c>
      <x:c r="L11" s="52" t="str">
        <x:v>En proceso de aprobación</x:v>
      </x:c>
      <x:c r="M11" s="52" t="str">
        <x:v>Pendiente</x:v>
      </x:c>
      <x:c r="N11" s="52" t="str">
        <x:v>Pendiente</x:v>
      </x:c>
      <x:c r="O11" s="52" t="str">
        <x:v>Pendiente</x:v>
      </x:c>
      <x:c r="P11" s="72" t="n">
        <x:f>COUNTIF(M11:O11,"Aprobado")/3</x:f>
        <x:v>0</x:v>
      </x:c>
      <x:c r="Q11" s="52" t="str">
        <x:f>IF(P11=1,"APROBADO Y VIGENTE",IF(L11="En proceso de aprobación","PUBLICABLE COMO BORRADOR TRANSITORIO","NO PUBLICAR"))</x:f>
        <x:v>PUBLICABLE COMO BORRADOR TRANSITORIO</x:v>
      </x:c>
      <x:c r="R11" s="52" t="str">
        <x:v>Sí, con advertencia</x:v>
      </x:c>
      <x:c r="S11" s="52" t="str">
        <x:v>Líder del proceso Jurídica y Contratación</x:v>
      </x:c>
      <x:c r="T11" s="52" t="str">
        <x:v>03_Modelos_de_Contrato/09_Modelo_Contrato_Suministro.docx</x:v>
      </x:c>
      <x:c r="U11" s="52" t="str">
        <x:v>Verificar en cada proceso</x:v>
      </x:c>
      <x:c r="V11" s="52" t="str">
        <x:v>Trimestral y ante cambio normativo</x:v>
      </x:c>
      <x:c r="W11" s="52" t="str">
        <x:v>Sustituir por versión aprobada cuando culmine el proceso institucional.</x:v>
      </x:c>
    </x:row>
    <x:row r="12" ht="64" customHeight="1">
      <x:c r="A12" s="52" t="str">
        <x:v>Modelos de contrato</x:v>
      </x:c>
      <x:c r="B12" s="52" t="str">
        <x:v>JC-FT-10-PROV</x:v>
      </x:c>
      <x:c r="C12" s="52" t="str">
        <x:v>10_Modelo_Contrato_Obra_Publica.docx</x:v>
      </x:c>
      <x:c r="D12" s="52" t="str">
        <x:v>Modelo de contrato de obra pública</x:v>
      </x:c>
      <x:c r="E12" s="52" t="str">
        <x:v>Modelo de contrato</x:v>
      </x:c>
      <x:c r="F12" s="52" t="str">
        <x:v>Contratación</x:v>
      </x:c>
      <x:c r="G12" s="52" t="str">
        <x:v>230-15-01</x:v>
      </x:c>
      <x:c r="H12" s="52" t="str">
        <x:v>Modelo interno complementario; el Documento Tipo vigente de CCE prevalece cuando sea obligatorio.</x:v>
      </x:c>
      <x:c r="I12" s="52" t="str">
        <x:v>0.1</x:v>
      </x:c>
      <x:c r="J12" s="70" t="n">
        <x:v>46234</x:v>
      </x:c>
      <x:c r="K12" s="52" t="str">
        <x:v>Borrador transitorio</x:v>
      </x:c>
      <x:c r="L12" s="52" t="str">
        <x:v>En proceso de aprobación</x:v>
      </x:c>
      <x:c r="M12" s="52" t="str">
        <x:v>Pendiente</x:v>
      </x:c>
      <x:c r="N12" s="52" t="str">
        <x:v>Pendiente</x:v>
      </x:c>
      <x:c r="O12" s="52" t="str">
        <x:v>Pendiente</x:v>
      </x:c>
      <x:c r="P12" s="72" t="n">
        <x:f>COUNTIF(M12:O12,"Aprobado")/3</x:f>
        <x:v>0</x:v>
      </x:c>
      <x:c r="Q12" s="52" t="str">
        <x:f>IF(P12=1,"APROBADO Y VIGENTE",IF(L12="En proceso de aprobación","PUBLICABLE COMO BORRADOR TRANSITORIO","NO PUBLICAR"))</x:f>
        <x:v>PUBLICABLE COMO BORRADOR TRANSITORIO</x:v>
      </x:c>
      <x:c r="R12" s="52" t="str">
        <x:v>Sí, con advertencia</x:v>
      </x:c>
      <x:c r="S12" s="52" t="str">
        <x:v>Líder del proceso Jurídica y Contratación</x:v>
      </x:c>
      <x:c r="T12" s="52" t="str">
        <x:v>03_Modelos_de_Contrato/10_Modelo_Contrato_Obra_Publica.docx</x:v>
      </x:c>
      <x:c r="U12" s="52" t="str">
        <x:v>Verificar aplicabilidad; prevalece la versión oficial CCE</x:v>
      </x:c>
      <x:c r="V12" s="52" t="str">
        <x:v>Trimestral y ante cambio normativo</x:v>
      </x:c>
      <x:c r="W12" s="52" t="str">
        <x:v>Sustituir por versión aprobada cuando culmine el proceso institucional.</x:v>
      </x:c>
    </x:row>
    <x:row r="13" ht="64" customHeight="1">
      <x:c r="A13" s="52" t="str">
        <x:v>Modelos de contrato</x:v>
      </x:c>
      <x:c r="B13" s="52" t="str">
        <x:v>JC-FT-11-PROV</x:v>
      </x:c>
      <x:c r="C13" s="52" t="str">
        <x:v>11_Modelo_Contrato_Consultoria_Interventoria.docx</x:v>
      </x:c>
      <x:c r="D13" s="52" t="str">
        <x:v>Modelo de contrato de consultoría e interventoría</x:v>
      </x:c>
      <x:c r="E13" s="52" t="str">
        <x:v>Modelo de contrato</x:v>
      </x:c>
      <x:c r="F13" s="52" t="str">
        <x:v>Contratación</x:v>
      </x:c>
      <x:c r="G13" s="52" t="str">
        <x:v>230-15-06 / 230-52</x:v>
      </x:c>
      <x:c r="H13" s="52" t="str">
        <x:v>Modelo vacío para productos especializados, equipo, metodología y responsabilidad técnica.</x:v>
      </x:c>
      <x:c r="I13" s="52" t="str">
        <x:v>0.1</x:v>
      </x:c>
      <x:c r="J13" s="70" t="n">
        <x:v>46234</x:v>
      </x:c>
      <x:c r="K13" s="52" t="str">
        <x:v>Borrador transitorio</x:v>
      </x:c>
      <x:c r="L13" s="52" t="str">
        <x:v>En proceso de aprobación</x:v>
      </x:c>
      <x:c r="M13" s="52" t="str">
        <x:v>Pendiente</x:v>
      </x:c>
      <x:c r="N13" s="52" t="str">
        <x:v>Pendiente</x:v>
      </x:c>
      <x:c r="O13" s="52" t="str">
        <x:v>Pendiente</x:v>
      </x:c>
      <x:c r="P13" s="72" t="n">
        <x:f>COUNTIF(M13:O13,"Aprobado")/3</x:f>
        <x:v>0</x:v>
      </x:c>
      <x:c r="Q13" s="52" t="str">
        <x:f>IF(P13=1,"APROBADO Y VIGENTE",IF(L13="En proceso de aprobación","PUBLICABLE COMO BORRADOR TRANSITORIO","NO PUBLICAR"))</x:f>
        <x:v>PUBLICABLE COMO BORRADOR TRANSITORIO</x:v>
      </x:c>
      <x:c r="R13" s="52" t="str">
        <x:v>Sí, con advertencia</x:v>
      </x:c>
      <x:c r="S13" s="52" t="str">
        <x:v>Líder del proceso Jurídica y Contratación</x:v>
      </x:c>
      <x:c r="T13" s="52" t="str">
        <x:v>03_Modelos_de_Contrato/11_Modelo_Contrato_Consultoria_Interventoria.docx</x:v>
      </x:c>
      <x:c r="U13" s="52" t="str">
        <x:v>Verificar en cada proceso</x:v>
      </x:c>
      <x:c r="V13" s="52" t="str">
        <x:v>Trimestral y ante cambio normativo</x:v>
      </x:c>
      <x:c r="W13" s="52" t="str">
        <x:v>Sustituir por versión aprobada cuando culmine el proceso institucional.</x:v>
      </x:c>
    </x:row>
    <x:row r="14" ht="64" customHeight="1">
      <x:c r="A14" s="52" t="str">
        <x:v>Ejecución y supervisión</x:v>
      </x:c>
      <x:c r="B14" s="52" t="str">
        <x:v>JC-FT-12-PROV</x:v>
      </x:c>
      <x:c r="C14" s="52" t="str">
        <x:v>12_Formato_Acta_Inicio.docx</x:v>
      </x:c>
      <x:c r="D14" s="52" t="str">
        <x:v>Formato de acta de inicio</x:v>
      </x:c>
      <x:c r="E14" s="52" t="str">
        <x:v>Acta</x:v>
      </x:c>
      <x:c r="F14" s="52" t="str">
        <x:v>Ejecución</x:v>
      </x:c>
      <x:c r="G14" s="52" t="str">
        <x:v>230-15-01 a 230-15-07</x:v>
      </x:c>
      <x:c r="H14" s="52" t="str">
        <x:v>Verificación de requisitos de ejecución, garantías, supervisor, plazo y fecha efectiva.</x:v>
      </x:c>
      <x:c r="I14" s="52" t="str">
        <x:v>0.1</x:v>
      </x:c>
      <x:c r="J14" s="70" t="n">
        <x:v>46234</x:v>
      </x:c>
      <x:c r="K14" s="52" t="str">
        <x:v>Borrador transitorio</x:v>
      </x:c>
      <x:c r="L14" s="52" t="str">
        <x:v>En proceso de aprobación</x:v>
      </x:c>
      <x:c r="M14" s="52" t="str">
        <x:v>Pendiente</x:v>
      </x:c>
      <x:c r="N14" s="52" t="str">
        <x:v>Pendiente</x:v>
      </x:c>
      <x:c r="O14" s="52" t="str">
        <x:v>Pendiente</x:v>
      </x:c>
      <x:c r="P14" s="72" t="n">
        <x:f>COUNTIF(M14:O14,"Aprobado")/3</x:f>
        <x:v>0</x:v>
      </x:c>
      <x:c r="Q14" s="52" t="str">
        <x:f>IF(P14=1,"APROBADO Y VIGENTE",IF(L14="En proceso de aprobación","PUBLICABLE COMO BORRADOR TRANSITORIO","NO PUBLICAR"))</x:f>
        <x:v>PUBLICABLE COMO BORRADOR TRANSITORIO</x:v>
      </x:c>
      <x:c r="R14" s="52" t="str">
        <x:v>Sí, con advertencia</x:v>
      </x:c>
      <x:c r="S14" s="52" t="str">
        <x:v>Líder del proceso Jurídica y Contratación</x:v>
      </x:c>
      <x:c r="T14" s="52" t="str">
        <x:v>04_Ejecucion_y_Supervision/12_Formato_Acta_Inicio.docx</x:v>
      </x:c>
      <x:c r="U14" s="52" t="str">
        <x:v>Verificar en cada proceso</x:v>
      </x:c>
      <x:c r="V14" s="52" t="str">
        <x:v>Trimestral y ante cambio normativo</x:v>
      </x:c>
      <x:c r="W14" s="52" t="str">
        <x:v>Sustituir por versión aprobada cuando culmine el proceso institucional.</x:v>
      </x:c>
    </x:row>
    <x:row r="15" ht="64" customHeight="1">
      <x:c r="A15" s="52" t="str">
        <x:v>Ejecución y supervisión</x:v>
      </x:c>
      <x:c r="B15" s="52" t="str">
        <x:v>JC-FT-13-PROV</x:v>
      </x:c>
      <x:c r="C15" s="52" t="str">
        <x:v>13_Formato_Acta_Suspension.docx</x:v>
      </x:c>
      <x:c r="D15" s="52" t="str">
        <x:v>Formato de acta de suspensión</x:v>
      </x:c>
      <x:c r="E15" s="52" t="str">
        <x:v>Acta</x:v>
      </x:c>
      <x:c r="F15" s="52" t="str">
        <x:v>Ejecución</x:v>
      </x:c>
      <x:c r="G15" s="52" t="str">
        <x:v>230-15-01 a 230-15-07</x:v>
      </x:c>
      <x:c r="H15" s="52" t="str">
        <x:v>Documenta causal, estado, obligaciones durante suspensión, garantías y nueva fecha.</x:v>
      </x:c>
      <x:c r="I15" s="52" t="str">
        <x:v>0.1</x:v>
      </x:c>
      <x:c r="J15" s="70" t="n">
        <x:v>46234</x:v>
      </x:c>
      <x:c r="K15" s="52" t="str">
        <x:v>Borrador transitorio</x:v>
      </x:c>
      <x:c r="L15" s="52" t="str">
        <x:v>En proceso de aprobación</x:v>
      </x:c>
      <x:c r="M15" s="52" t="str">
        <x:v>Pendiente</x:v>
      </x:c>
      <x:c r="N15" s="52" t="str">
        <x:v>Pendiente</x:v>
      </x:c>
      <x:c r="O15" s="52" t="str">
        <x:v>Pendiente</x:v>
      </x:c>
      <x:c r="P15" s="72" t="n">
        <x:f>COUNTIF(M15:O15,"Aprobado")/3</x:f>
        <x:v>0</x:v>
      </x:c>
      <x:c r="Q15" s="52" t="str">
        <x:f>IF(P15=1,"APROBADO Y VIGENTE",IF(L15="En proceso de aprobación","PUBLICABLE COMO BORRADOR TRANSITORIO","NO PUBLICAR"))</x:f>
        <x:v>PUBLICABLE COMO BORRADOR TRANSITORIO</x:v>
      </x:c>
      <x:c r="R15" s="52" t="str">
        <x:v>Sí, con advertencia</x:v>
      </x:c>
      <x:c r="S15" s="52" t="str">
        <x:v>Líder del proceso Jurídica y Contratación</x:v>
      </x:c>
      <x:c r="T15" s="52" t="str">
        <x:v>04_Ejecucion_y_Supervision/13_Formato_Acta_Suspension.docx</x:v>
      </x:c>
      <x:c r="U15" s="52" t="str">
        <x:v>Verificar en cada proceso</x:v>
      </x:c>
      <x:c r="V15" s="52" t="str">
        <x:v>Trimestral y ante cambio normativo</x:v>
      </x:c>
      <x:c r="W15" s="52" t="str">
        <x:v>Sustituir por versión aprobada cuando culmine el proceso institucional.</x:v>
      </x:c>
    </x:row>
    <x:row r="16" ht="64" customHeight="1">
      <x:c r="A16" s="52" t="str">
        <x:v>Ejecución y supervisión</x:v>
      </x:c>
      <x:c r="B16" s="52" t="str">
        <x:v>JC-FT-14-PROV</x:v>
      </x:c>
      <x:c r="C16" s="52" t="str">
        <x:v>14_Formato_Acta_Reinicio.docx</x:v>
      </x:c>
      <x:c r="D16" s="52" t="str">
        <x:v>Formato de acta de reinicio</x:v>
      </x:c>
      <x:c r="E16" s="52" t="str">
        <x:v>Acta</x:v>
      </x:c>
      <x:c r="F16" s="52" t="str">
        <x:v>Ejecución</x:v>
      </x:c>
      <x:c r="G16" s="52" t="str">
        <x:v>230-15-01 a 230-15-07</x:v>
      </x:c>
      <x:c r="H16" s="52" t="str">
        <x:v>Verifica superación de causas, actualización de garantías y saldo de plazo.</x:v>
      </x:c>
      <x:c r="I16" s="52" t="str">
        <x:v>0.1</x:v>
      </x:c>
      <x:c r="J16" s="70" t="n">
        <x:v>46234</x:v>
      </x:c>
      <x:c r="K16" s="52" t="str">
        <x:v>Borrador transitorio</x:v>
      </x:c>
      <x:c r="L16" s="52" t="str">
        <x:v>En proceso de aprobación</x:v>
      </x:c>
      <x:c r="M16" s="52" t="str">
        <x:v>Pendiente</x:v>
      </x:c>
      <x:c r="N16" s="52" t="str">
        <x:v>Pendiente</x:v>
      </x:c>
      <x:c r="O16" s="52" t="str">
        <x:v>Pendiente</x:v>
      </x:c>
      <x:c r="P16" s="72" t="n">
        <x:f>COUNTIF(M16:O16,"Aprobado")/3</x:f>
        <x:v>0</x:v>
      </x:c>
      <x:c r="Q16" s="52" t="str">
        <x:f>IF(P16=1,"APROBADO Y VIGENTE",IF(L16="En proceso de aprobación","PUBLICABLE COMO BORRADOR TRANSITORIO","NO PUBLICAR"))</x:f>
        <x:v>PUBLICABLE COMO BORRADOR TRANSITORIO</x:v>
      </x:c>
      <x:c r="R16" s="52" t="str">
        <x:v>Sí, con advertencia</x:v>
      </x:c>
      <x:c r="S16" s="52" t="str">
        <x:v>Líder del proceso Jurídica y Contratación</x:v>
      </x:c>
      <x:c r="T16" s="52" t="str">
        <x:v>04_Ejecucion_y_Supervision/14_Formato_Acta_Reinicio.docx</x:v>
      </x:c>
      <x:c r="U16" s="52" t="str">
        <x:v>Verificar en cada proceso</x:v>
      </x:c>
      <x:c r="V16" s="52" t="str">
        <x:v>Trimestral y ante cambio normativo</x:v>
      </x:c>
      <x:c r="W16" s="52" t="str">
        <x:v>Sustituir por versión aprobada cuando culmine el proceso institucional.</x:v>
      </x:c>
    </x:row>
    <x:row r="17" ht="64" customHeight="1">
      <x:c r="A17" s="52" t="str">
        <x:v>Ejecución y supervisión</x:v>
      </x:c>
      <x:c r="B17" s="52" t="str">
        <x:v>JC-FT-15-PROV</x:v>
      </x:c>
      <x:c r="C17" s="52" t="str">
        <x:v>15_Formato_Solicitud_Modificacion_Adicion_Prorroga.docx</x:v>
      </x:c>
      <x:c r="D17" s="52" t="str">
        <x:v>Formato de solicitud y justificación de modificación, adición o prórroga</x:v>
      </x:c>
      <x:c r="E17" s="52" t="str">
        <x:v>Formato de justificación</x:v>
      </x:c>
      <x:c r="F17" s="52" t="str">
        <x:v>Ejecución</x:v>
      </x:c>
      <x:c r="G17" s="52" t="str">
        <x:v>230-15-01 a 230-15-07</x:v>
      </x:c>
      <x:c r="H17" s="52" t="str">
        <x:v>Control técnico, financiero, jurídico, presupuestal y de riesgos antes de modificar.</x:v>
      </x:c>
      <x:c r="I17" s="52" t="str">
        <x:v>0.1</x:v>
      </x:c>
      <x:c r="J17" s="70" t="n">
        <x:v>46234</x:v>
      </x:c>
      <x:c r="K17" s="52" t="str">
        <x:v>Borrador transitorio</x:v>
      </x:c>
      <x:c r="L17" s="52" t="str">
        <x:v>En proceso de aprobación</x:v>
      </x:c>
      <x:c r="M17" s="52" t="str">
        <x:v>Pendiente</x:v>
      </x:c>
      <x:c r="N17" s="52" t="str">
        <x:v>Pendiente</x:v>
      </x:c>
      <x:c r="O17" s="52" t="str">
        <x:v>Pendiente</x:v>
      </x:c>
      <x:c r="P17" s="72" t="n">
        <x:f>COUNTIF(M17:O17,"Aprobado")/3</x:f>
        <x:v>0</x:v>
      </x:c>
      <x:c r="Q17" s="52" t="str">
        <x:f>IF(P17=1,"APROBADO Y VIGENTE",IF(L17="En proceso de aprobación","PUBLICABLE COMO BORRADOR TRANSITORIO","NO PUBLICAR"))</x:f>
        <x:v>PUBLICABLE COMO BORRADOR TRANSITORIO</x:v>
      </x:c>
      <x:c r="R17" s="52" t="str">
        <x:v>Sí, con advertencia</x:v>
      </x:c>
      <x:c r="S17" s="52" t="str">
        <x:v>Líder del proceso Jurídica y Contratación</x:v>
      </x:c>
      <x:c r="T17" s="52" t="str">
        <x:v>04_Ejecucion_y_Supervision/15_Formato_Solicitud_Modificacion_Adicion_Prorroga.docx</x:v>
      </x:c>
      <x:c r="U17" s="52" t="str">
        <x:v>Verificar en cada proceso</x:v>
      </x:c>
      <x:c r="V17" s="52" t="str">
        <x:v>Trimestral y ante cambio normativo</x:v>
      </x:c>
      <x:c r="W17" s="52" t="str">
        <x:v>Sustituir por versión aprobada cuando culmine el proceso institucional.</x:v>
      </x:c>
    </x:row>
    <x:row r="18" ht="64" customHeight="1">
      <x:c r="A18" s="52" t="str">
        <x:v>Ejecución y supervisión</x:v>
      </x:c>
      <x:c r="B18" s="52" t="str">
        <x:v>JC-FT-16-PROV</x:v>
      </x:c>
      <x:c r="C18" s="52" t="str">
        <x:v>16_Formato_Informe_Contratista.docx</x:v>
      </x:c>
      <x:c r="D18" s="52" t="str">
        <x:v>Formato de informe periódico del contratista</x:v>
      </x:c>
      <x:c r="E18" s="52" t="str">
        <x:v>Informe</x:v>
      </x:c>
      <x:c r="F18" s="52" t="str">
        <x:v>Ejecución</x:v>
      </x:c>
      <x:c r="G18" s="52" t="str">
        <x:v>230-15-02 / 230-15-05 / 230-15-06</x:v>
      </x:c>
      <x:c r="H18" s="52" t="str">
        <x:v>Modelo vacío para actividades, productos, evidencias, seguridad social y balance financiero.</x:v>
      </x:c>
      <x:c r="I18" s="52" t="str">
        <x:v>0.1</x:v>
      </x:c>
      <x:c r="J18" s="70" t="n">
        <x:v>46234</x:v>
      </x:c>
      <x:c r="K18" s="52" t="str">
        <x:v>Borrador transitorio</x:v>
      </x:c>
      <x:c r="L18" s="52" t="str">
        <x:v>En proceso de aprobación</x:v>
      </x:c>
      <x:c r="M18" s="52" t="str">
        <x:v>Pendiente</x:v>
      </x:c>
      <x:c r="N18" s="52" t="str">
        <x:v>Pendiente</x:v>
      </x:c>
      <x:c r="O18" s="52" t="str">
        <x:v>Pendiente</x:v>
      </x:c>
      <x:c r="P18" s="72" t="n">
        <x:f>COUNTIF(M18:O18,"Aprobado")/3</x:f>
        <x:v>0</x:v>
      </x:c>
      <x:c r="Q18" s="52" t="str">
        <x:f>IF(P18=1,"APROBADO Y VIGENTE",IF(L18="En proceso de aprobación","PUBLICABLE COMO BORRADOR TRANSITORIO","NO PUBLICAR"))</x:f>
        <x:v>PUBLICABLE COMO BORRADOR TRANSITORIO</x:v>
      </x:c>
      <x:c r="R18" s="52" t="str">
        <x:v>Sí, con advertencia</x:v>
      </x:c>
      <x:c r="S18" s="52" t="str">
        <x:v>Líder del proceso Jurídica y Contratación</x:v>
      </x:c>
      <x:c r="T18" s="52" t="str">
        <x:v>04_Ejecucion_y_Supervision/16_Formato_Informe_Contratista.docx</x:v>
      </x:c>
      <x:c r="U18" s="52" t="str">
        <x:v>Verificar en cada proceso</x:v>
      </x:c>
      <x:c r="V18" s="52" t="str">
        <x:v>Trimestral y ante cambio normativo</x:v>
      </x:c>
      <x:c r="W18" s="52" t="str">
        <x:v>Sustituir por versión aprobada cuando culmine el proceso institucional.</x:v>
      </x:c>
    </x:row>
    <x:row r="19" ht="64" customHeight="1">
      <x:c r="A19" s="52" t="str">
        <x:v>Ejecución y supervisión</x:v>
      </x:c>
      <x:c r="B19" s="52" t="str">
        <x:v>JC-FT-17-PROV</x:v>
      </x:c>
      <x:c r="C19" s="52" t="str">
        <x:v>17_Formato_Informe_Supervision_Interventoria.docx</x:v>
      </x:c>
      <x:c r="D19" s="52" t="str">
        <x:v>Formato de informe de supervisión o interventoría</x:v>
      </x:c>
      <x:c r="E19" s="52" t="str">
        <x:v>Informe</x:v>
      </x:c>
      <x:c r="F19" s="52" t="str">
        <x:v>Ejecución</x:v>
      </x:c>
      <x:c r="G19" s="52" t="str">
        <x:v>230-15-01 a 230-15-07 / 230-52</x:v>
      </x:c>
      <x:c r="H19" s="52" t="str">
        <x:v>Sustituye el ejemplo diligenciado por un formato vacío, verificable, trazable y más completo.</x:v>
      </x:c>
      <x:c r="I19" s="52" t="str">
        <x:v>0.1</x:v>
      </x:c>
      <x:c r="J19" s="70" t="n">
        <x:v>46234</x:v>
      </x:c>
      <x:c r="K19" s="52" t="str">
        <x:v>Borrador transitorio</x:v>
      </x:c>
      <x:c r="L19" s="52" t="str">
        <x:v>En proceso de aprobación</x:v>
      </x:c>
      <x:c r="M19" s="52" t="str">
        <x:v>Pendiente</x:v>
      </x:c>
      <x:c r="N19" s="52" t="str">
        <x:v>Pendiente</x:v>
      </x:c>
      <x:c r="O19" s="52" t="str">
        <x:v>Pendiente</x:v>
      </x:c>
      <x:c r="P19" s="72" t="n">
        <x:f>COUNTIF(M19:O19,"Aprobado")/3</x:f>
        <x:v>0</x:v>
      </x:c>
      <x:c r="Q19" s="52" t="str">
        <x:f>IF(P19=1,"APROBADO Y VIGENTE",IF(L19="En proceso de aprobación","PUBLICABLE COMO BORRADOR TRANSITORIO","NO PUBLICAR"))</x:f>
        <x:v>PUBLICABLE COMO BORRADOR TRANSITORIO</x:v>
      </x:c>
      <x:c r="R19" s="52" t="str">
        <x:v>Sí, con advertencia</x:v>
      </x:c>
      <x:c r="S19" s="52" t="str">
        <x:v>Líder del proceso Jurídica y Contratación</x:v>
      </x:c>
      <x:c r="T19" s="52" t="str">
        <x:v>04_Ejecucion_y_Supervision/17_Formato_Informe_Supervision_Interventoria.docx</x:v>
      </x:c>
      <x:c r="U19" s="52" t="str">
        <x:v>Verificar en cada proceso</x:v>
      </x:c>
      <x:c r="V19" s="52" t="str">
        <x:v>Trimestral y ante cambio normativo</x:v>
      </x:c>
      <x:c r="W19" s="52" t="str">
        <x:v>Sustituir por versión aprobada cuando culmine el proceso institucional.</x:v>
      </x:c>
    </x:row>
    <x:row r="20" ht="64" customHeight="1">
      <x:c r="A20" s="52" t="str">
        <x:v>Ejecución y supervisión</x:v>
      </x:c>
      <x:c r="B20" s="52" t="str">
        <x:v>JC-FT-18-PROV</x:v>
      </x:c>
      <x:c r="C20" s="52" t="str">
        <x:v>18_Formato_Certificacion_Cumplimiento_Pago.docx</x:v>
      </x:c>
      <x:c r="D20" s="52" t="str">
        <x:v>Formato de certificación de cumplimiento y autorización de pago</x:v>
      </x:c>
      <x:c r="E20" s="52" t="str">
        <x:v>Certificación</x:v>
      </x:c>
      <x:c r="F20" s="52" t="str">
        <x:v>Ejecución</x:v>
      </x:c>
      <x:c r="G20" s="52" t="str">
        <x:v>230-15-01 a 230-15-07</x:v>
      </x:c>
      <x:c r="H20" s="52" t="str">
        <x:v>Certifica cumplimiento, soportes, seguridad social, descuentos, saldos y procedencia del pago.</x:v>
      </x:c>
      <x:c r="I20" s="52" t="str">
        <x:v>0.1</x:v>
      </x:c>
      <x:c r="J20" s="70" t="n">
        <x:v>46234</x:v>
      </x:c>
      <x:c r="K20" s="52" t="str">
        <x:v>Borrador transitorio</x:v>
      </x:c>
      <x:c r="L20" s="52" t="str">
        <x:v>En proceso de aprobación</x:v>
      </x:c>
      <x:c r="M20" s="52" t="str">
        <x:v>Pendiente</x:v>
      </x:c>
      <x:c r="N20" s="52" t="str">
        <x:v>Pendiente</x:v>
      </x:c>
      <x:c r="O20" s="52" t="str">
        <x:v>Pendiente</x:v>
      </x:c>
      <x:c r="P20" s="72" t="n">
        <x:f>COUNTIF(M20:O20,"Aprobado")/3</x:f>
        <x:v>0</x:v>
      </x:c>
      <x:c r="Q20" s="52" t="str">
        <x:f>IF(P20=1,"APROBADO Y VIGENTE",IF(L20="En proceso de aprobación","PUBLICABLE COMO BORRADOR TRANSITORIO","NO PUBLICAR"))</x:f>
        <x:v>PUBLICABLE COMO BORRADOR TRANSITORIO</x:v>
      </x:c>
      <x:c r="R20" s="52" t="str">
        <x:v>Sí, con advertencia</x:v>
      </x:c>
      <x:c r="S20" s="52" t="str">
        <x:v>Líder del proceso Jurídica y Contratación</x:v>
      </x:c>
      <x:c r="T20" s="52" t="str">
        <x:v>04_Ejecucion_y_Supervision/18_Formato_Certificacion_Cumplimiento_Pago.docx</x:v>
      </x:c>
      <x:c r="U20" s="52" t="str">
        <x:v>Verificar en cada proceso</x:v>
      </x:c>
      <x:c r="V20" s="52" t="str">
        <x:v>Trimestral y ante cambio normativo</x:v>
      </x:c>
      <x:c r="W20" s="52" t="str">
        <x:v>Sustituir por versión aprobada cuando culmine el proceso institucional.</x:v>
      </x:c>
    </x:row>
    <x:row r="21" ht="64" customHeight="1">
      <x:c r="A21" s="52" t="str">
        <x:v>Cierre y archivo</x:v>
      </x:c>
      <x:c r="B21" s="52" t="str">
        <x:v>JC-FT-19-PROV</x:v>
      </x:c>
      <x:c r="C21" s="52" t="str">
        <x:v>19_Formato_Acta_Terminacion_Recibo_Final.docx</x:v>
      </x:c>
      <x:c r="D21" s="52" t="str">
        <x:v>Formato de acta de terminación y recibo final</x:v>
      </x:c>
      <x:c r="E21" s="52" t="str">
        <x:v>Acta</x:v>
      </x:c>
      <x:c r="F21" s="52" t="str">
        <x:v>Cierre</x:v>
      </x:c>
      <x:c r="G21" s="52" t="str">
        <x:v>230-15-01 a 230-15-07</x:v>
      </x:c>
      <x:c r="H21" s="52" t="str">
        <x:v>Recibo de productos, pendientes, bienes, garantías y cierre técnico.</x:v>
      </x:c>
      <x:c r="I21" s="52" t="str">
        <x:v>0.1</x:v>
      </x:c>
      <x:c r="J21" s="70" t="n">
        <x:v>46234</x:v>
      </x:c>
      <x:c r="K21" s="52" t="str">
        <x:v>Borrador transitorio</x:v>
      </x:c>
      <x:c r="L21" s="52" t="str">
        <x:v>En proceso de aprobación</x:v>
      </x:c>
      <x:c r="M21" s="52" t="str">
        <x:v>Pendiente</x:v>
      </x:c>
      <x:c r="N21" s="52" t="str">
        <x:v>Pendiente</x:v>
      </x:c>
      <x:c r="O21" s="52" t="str">
        <x:v>Pendiente</x:v>
      </x:c>
      <x:c r="P21" s="72" t="n">
        <x:f>COUNTIF(M21:O21,"Aprobado")/3</x:f>
        <x:v>0</x:v>
      </x:c>
      <x:c r="Q21" s="52" t="str">
        <x:f>IF(P21=1,"APROBADO Y VIGENTE",IF(L21="En proceso de aprobación","PUBLICABLE COMO BORRADOR TRANSITORIO","NO PUBLICAR"))</x:f>
        <x:v>PUBLICABLE COMO BORRADOR TRANSITORIO</x:v>
      </x:c>
      <x:c r="R21" s="52" t="str">
        <x:v>Sí, con advertencia</x:v>
      </x:c>
      <x:c r="S21" s="52" t="str">
        <x:v>Líder del proceso Jurídica y Contratación</x:v>
      </x:c>
      <x:c r="T21" s="52" t="str">
        <x:v>05_Cierre_y_Archivo/19_Formato_Acta_Terminacion_Recibo_Final.docx</x:v>
      </x:c>
      <x:c r="U21" s="52" t="str">
        <x:v>Verificar en cada proceso</x:v>
      </x:c>
      <x:c r="V21" s="52" t="str">
        <x:v>Trimestral y ante cambio normativo</x:v>
      </x:c>
      <x:c r="W21" s="52" t="str">
        <x:v>Sustituir por versión aprobada cuando culmine el proceso institucional.</x:v>
      </x:c>
    </x:row>
    <x:row r="22" ht="64" customHeight="1">
      <x:c r="A22" s="52" t="str">
        <x:v>Cierre y archivo</x:v>
      </x:c>
      <x:c r="B22" s="52" t="str">
        <x:v>JC-FT-20-PROV</x:v>
      </x:c>
      <x:c r="C22" s="52" t="str">
        <x:v>20_Formato_Acta_Liquidacion_Bilateral.docx</x:v>
      </x:c>
      <x:c r="D22" s="52" t="str">
        <x:v>Formato de acta de liquidación bilateral</x:v>
      </x:c>
      <x:c r="E22" s="52" t="str">
        <x:v>Acta</x:v>
      </x:c>
      <x:c r="F22" s="52" t="str">
        <x:v>Cierre</x:v>
      </x:c>
      <x:c r="G22" s="52" t="str">
        <x:v>230-15-01 a 230-15-07</x:v>
      </x:c>
      <x:c r="H22" s="52" t="str">
        <x:v>Balance jurídico, técnico y financiero; obligaciones posteriores, salvedades y firmas.</x:v>
      </x:c>
      <x:c r="I22" s="52" t="str">
        <x:v>0.1</x:v>
      </x:c>
      <x:c r="J22" s="70" t="n">
        <x:v>46234</x:v>
      </x:c>
      <x:c r="K22" s="52" t="str">
        <x:v>Borrador transitorio</x:v>
      </x:c>
      <x:c r="L22" s="52" t="str">
        <x:v>En proceso de aprobación</x:v>
      </x:c>
      <x:c r="M22" s="52" t="str">
        <x:v>Pendiente</x:v>
      </x:c>
      <x:c r="N22" s="52" t="str">
        <x:v>Pendiente</x:v>
      </x:c>
      <x:c r="O22" s="52" t="str">
        <x:v>Pendiente</x:v>
      </x:c>
      <x:c r="P22" s="72" t="n">
        <x:f>COUNTIF(M22:O22,"Aprobado")/3</x:f>
        <x:v>0</x:v>
      </x:c>
      <x:c r="Q22" s="52" t="str">
        <x:f>IF(P22=1,"APROBADO Y VIGENTE",IF(L22="En proceso de aprobación","PUBLICABLE COMO BORRADOR TRANSITORIO","NO PUBLICAR"))</x:f>
        <x:v>PUBLICABLE COMO BORRADOR TRANSITORIO</x:v>
      </x:c>
      <x:c r="R22" s="52" t="str">
        <x:v>Sí, con advertencia</x:v>
      </x:c>
      <x:c r="S22" s="52" t="str">
        <x:v>Líder del proceso Jurídica y Contratación</x:v>
      </x:c>
      <x:c r="T22" s="52" t="str">
        <x:v>05_Cierre_y_Archivo/20_Formato_Acta_Liquidacion_Bilateral.docx</x:v>
      </x:c>
      <x:c r="U22" s="52" t="str">
        <x:v>Verificar en cada proceso</x:v>
      </x:c>
      <x:c r="V22" s="52" t="str">
        <x:v>Trimestral y ante cambio normativo</x:v>
      </x:c>
      <x:c r="W22" s="52" t="str">
        <x:v>Sustituir por versión aprobada cuando culmine el proceso institucional.</x:v>
      </x:c>
    </x:row>
    <x:row r="23" ht="64" customHeight="1">
      <x:c r="A23" s="52" t="str">
        <x:v>Cierre y archivo</x:v>
      </x:c>
      <x:c r="B23" s="52" t="str">
        <x:v>JC-FT-21-PROV</x:v>
      </x:c>
      <x:c r="C23" s="52" t="str">
        <x:v>21_Lista_Chequeo_Expediente_Contractual.docx</x:v>
      </x:c>
      <x:c r="D23" s="52" t="str">
        <x:v>Lista de chequeo del expediente contractual</x:v>
      </x:c>
      <x:c r="E23" s="52" t="str">
        <x:v>Lista de chequeo</x:v>
      </x:c>
      <x:c r="F23" s="52" t="str">
        <x:v>Archivo</x:v>
      </x:c>
      <x:c r="G23" s="52" t="str">
        <x:v>230-15 / 230-37-01 / 230-52</x:v>
      </x:c>
      <x:c r="H23" s="52" t="str">
        <x:v>Control de 41 evidencias desde planeación hasta transferencia documental.</x:v>
      </x:c>
      <x:c r="I23" s="52" t="str">
        <x:v>0.1</x:v>
      </x:c>
      <x:c r="J23" s="70" t="n">
        <x:v>46234</x:v>
      </x:c>
      <x:c r="K23" s="52" t="str">
        <x:v>Borrador transitorio</x:v>
      </x:c>
      <x:c r="L23" s="52" t="str">
        <x:v>En proceso de aprobación</x:v>
      </x:c>
      <x:c r="M23" s="52" t="str">
        <x:v>Pendiente</x:v>
      </x:c>
      <x:c r="N23" s="52" t="str">
        <x:v>Pendiente</x:v>
      </x:c>
      <x:c r="O23" s="52" t="str">
        <x:v>Pendiente</x:v>
      </x:c>
      <x:c r="P23" s="72" t="n">
        <x:f>COUNTIF(M23:O23,"Aprobado")/3</x:f>
        <x:v>0</x:v>
      </x:c>
      <x:c r="Q23" s="52" t="str">
        <x:f>IF(P23=1,"APROBADO Y VIGENTE",IF(L23="En proceso de aprobación","PUBLICABLE COMO BORRADOR TRANSITORIO","NO PUBLICAR"))</x:f>
        <x:v>PUBLICABLE COMO BORRADOR TRANSITORIO</x:v>
      </x:c>
      <x:c r="R23" s="52" t="str">
        <x:v>Sí, con advertencia</x:v>
      </x:c>
      <x:c r="S23" s="52" t="str">
        <x:v>Líder del proceso Jurídica y Contratación</x:v>
      </x:c>
      <x:c r="T23" s="52" t="str">
        <x:v>05_Cierre_y_Archivo/21_Lista_Chequeo_Expediente_Contractual.docx</x:v>
      </x:c>
      <x:c r="U23" s="52" t="str">
        <x:v>Verificar en cada proceso</x:v>
      </x:c>
      <x:c r="V23" s="52" t="str">
        <x:v>Trimestral y ante cambio normativo</x:v>
      </x:c>
      <x:c r="W23" s="52" t="str">
        <x:v>Sustituir por versión aprobada cuando culmine el proceso institucional.</x:v>
      </x:c>
    </x:row>
    <x:row r="24" ht="64" customHeight="1">
      <x:c r="A24" s="52" t="str">
        <x:v>Guía y publicación</x:v>
      </x:c>
      <x:c r="B24" s="52" t="str">
        <x:v>JC-FT-22-PROV</x:v>
      </x:c>
      <x:c r="C24" s="52" t="str">
        <x:v>22_Declaracion_Publicacion_Transitoria.docx</x:v>
      </x:c>
      <x:c r="D24" s="52" t="str">
        <x:v>Declaración institucional de publicación transitoria</x:v>
      </x:c>
      <x:c r="E24" s="52" t="str">
        <x:v>Declaración</x:v>
      </x:c>
      <x:c r="F24" s="52" t="str">
        <x:v>Transversal</x:v>
      </x:c>
      <x:c r="G24" s="52" t="str">
        <x:v>230-15 / 230-18 / 230-22</x:v>
      </x:c>
      <x:c r="H24" s="52" t="str">
        <x:v>Texto institucional para explicar revisión, aprobación, TRD y aplicativo en desarrollo.</x:v>
      </x:c>
      <x:c r="I24" s="52" t="str">
        <x:v>0.1</x:v>
      </x:c>
      <x:c r="J24" s="70" t="n">
        <x:v>46234</x:v>
      </x:c>
      <x:c r="K24" s="52" t="str">
        <x:v>Borrador transitorio</x:v>
      </x:c>
      <x:c r="L24" s="52" t="str">
        <x:v>En proceso de aprobación</x:v>
      </x:c>
      <x:c r="M24" s="52" t="str">
        <x:v>Pendiente</x:v>
      </x:c>
      <x:c r="N24" s="52" t="str">
        <x:v>Pendiente</x:v>
      </x:c>
      <x:c r="O24" s="52" t="str">
        <x:v>Pendiente</x:v>
      </x:c>
      <x:c r="P24" s="72" t="n">
        <x:f>COUNTIF(M24:O24,"Aprobado")/3</x:f>
        <x:v>0</x:v>
      </x:c>
      <x:c r="Q24" s="52" t="str">
        <x:f>IF(P24=1,"APROBADO Y VIGENTE",IF(L24="En proceso de aprobación","PUBLICABLE COMO BORRADOR TRANSITORIO","NO PUBLICAR"))</x:f>
        <x:v>PUBLICABLE COMO BORRADOR TRANSITORIO</x:v>
      </x:c>
      <x:c r="R24" s="52" t="str">
        <x:v>Sí, con advertencia</x:v>
      </x:c>
      <x:c r="S24" s="52" t="str">
        <x:v>Líder del proceso Jurídica y Contratación</x:v>
      </x:c>
      <x:c r="T24" s="52" t="str">
        <x:v>00_Guia_y_Publicacion/22_Declaracion_Publicacion_Transitoria.docx</x:v>
      </x:c>
      <x:c r="U24" s="52" t="str">
        <x:v>Verificar en cada proceso</x:v>
      </x:c>
      <x:c r="V24" s="52" t="str">
        <x:v>Trimestral y ante cambio normativo</x:v>
      </x:c>
      <x:c r="W24" s="52" t="str">
        <x:v>Sustituir por versión aprobada cuando culmine el proceso institucional.</x:v>
      </x:c>
    </x:row>
  </x:sheetData>
  <x:conditionalFormatting sqref="Q2:Q24">
    <x:cfRule type="expression" dxfId="0" priority="1">
      <x:formula>Q2="APROBADO Y VIGENTE"</x:formula>
    </x:cfRule>
    <x:cfRule type="expression" dxfId="1" priority="2">
      <x:formula>Q2="PUBLICABLE COMO BORRADOR TRANSITORIO"</x:formula>
    </x:cfRule>
  </x:conditionalFormatting>
  <x:conditionalFormatting sqref="P2:P24">
    <x:cfRule type="dataBar" priority="3">
      <x:dataBar>
        <x:cfvo type="min"/>
        <x:cfvo type="max"/>
        <x:color rgb="FFA02B93"/>
      </x:dataBar>
      <x:extLst>
        <x:ext xmlns:x14="http://schemas.microsoft.com/office/spreadsheetml/2009/9/main" uri="{B025F937-C7B1-47D3-B67F-A62EFF666E3E}">
          <x14:id>{177BF329-CCAC-34FE-9045-BB0AA42B8149}</x14:id>
        </x:ext>
      </x:extLst>
    </x:cfRule>
  </x:conditionalFormatting>
  <x:dataValidations count="2">
    <x:dataValidation type="list" sqref="L2:O24">
      <x:formula1>"Pendiente,En revisión,Aprobado,No aplica,En proceso de aprobación"</x:formula1>
    </x:dataValidation>
    <x:dataValidation type="list" sqref="R2:R24">
      <x:formula1>"Sí, con advertencia,No,Sí, vigente"</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3" id="{177BF329-CCAC-34FE-9045-BB0AA42B8149}">
            <x14:dataBar gradient="1">
              <x14:cfvo type="min"/>
              <x14:cfvo type="max"/>
              <x14:fillColor rgb="FFA02B93"/>
            </x14:dataBar>
          </x14:cfRule>
          <xm:sqref>P2:P24</xm:sqref>
        </x14:conditionalFormatting>
      </x14:conditionalFormattings>
    </x:ext>
  </x:extLst>
</x:worksheet>
</file>

<file path=xl/worksheets/sheet3.xml><?xml version="1.0" encoding="utf-8"?>
<x:worksheet xmlns:x="http://schemas.openxmlformats.org/spreadsheetml/2006/main">
  <x:sheetFormatPr defaultRowHeight="15"/>
  <x:cols>
    <x:col min="1" max="1" width="7" hidden="0" customWidth="1"/>
    <x:col min="2" max="2" width="30" hidden="0" customWidth="1"/>
    <x:col min="3" max="3" width="55" hidden="0" customWidth="1"/>
    <x:col min="4" max="4" width="22" hidden="0" customWidth="1"/>
    <x:col min="5" max="5" width="35" hidden="0" customWidth="1"/>
    <x:col min="6" max="6" width="26" hidden="0" customWidth="1"/>
    <x:col min="7" max="7" width="22" hidden="0" customWidth="1"/>
    <x:col min="8" max="8" width="23" hidden="0" customWidth="1"/>
    <x:col min="9" max="9" width="14" hidden="0" customWidth="1"/>
    <x:col min="10" max="10" width="48" hidden="0" customWidth="1"/>
    <x:col min="11" max="11" width="25" hidden="0" customWidth="1"/>
    <x:col min="12" max="12" width="45" hidden="0" customWidth="1"/>
  </x:cols>
  <x:sheetData>
    <x:row r="1">
      <x:c r="A1" s="6" t="str">
        <x:v>MATRIZ DE APLICABILIDAD DE DOCUMENTOS TIPO DE COLOMBIA COMPRA EFICIENTE</x:v>
      </x:c>
      <x:c r="B1" s="6"/>
      <x:c r="C1" s="6"/>
      <x:c r="D1" s="6"/>
      <x:c r="E1" s="6"/>
      <x:c r="F1" s="6"/>
      <x:c r="G1" s="6"/>
      <x:c r="H1" s="6"/>
      <x:c r="I1" s="6"/>
      <x:c r="J1" s="6"/>
      <x:c r="K1" s="6"/>
      <x:c r="L1" s="6"/>
    </x:row>
    <x:row r="2">
      <x:c r="A2" s="45" t="str">
        <x:v>Esta matriz no reemplaza la verificación jurídica de cada proceso. Antes de elaborar proyecto de pliego, invitación o contrato, la dependencia debe consultar la página oficial de Colombia Compra Eficiente, identificar la versión vigente y analizar objeto, modalidad, sector, cuantía, alcance, matriz de experiencia, anexos y fecha de entrada en vigencia.</x:v>
      </x:c>
      <x:c r="B2" s="45"/>
      <x:c r="C2" s="45"/>
      <x:c r="D2" s="45"/>
      <x:c r="E2" s="45"/>
      <x:c r="F2" s="45"/>
      <x:c r="G2" s="45"/>
      <x:c r="H2" s="45"/>
      <x:c r="I2" s="45"/>
      <x:c r="J2" s="45"/>
      <x:c r="K2" s="45"/>
      <x:c r="L2" s="45"/>
    </x:row>
    <x:row r="3">
      <x:c r="A3" s="45"/>
      <x:c r="B3" s="45"/>
      <x:c r="C3" s="45"/>
      <x:c r="D3" s="45"/>
      <x:c r="E3" s="45"/>
      <x:c r="F3" s="45"/>
      <x:c r="G3" s="45"/>
      <x:c r="H3" s="45"/>
      <x:c r="I3" s="45"/>
      <x:c r="J3" s="45"/>
      <x:c r="K3" s="45"/>
      <x:c r="L3" s="45"/>
    </x:row>
    <x:row r="4">
      <x:c r="A4" s="45"/>
      <x:c r="B4" s="45"/>
      <x:c r="C4" s="45"/>
      <x:c r="D4" s="45"/>
      <x:c r="E4" s="45"/>
      <x:c r="F4" s="45"/>
      <x:c r="G4" s="45"/>
      <x:c r="H4" s="45"/>
      <x:c r="I4" s="45"/>
      <x:c r="J4" s="45"/>
      <x:c r="K4" s="45"/>
      <x:c r="L4" s="45"/>
    </x:row>
    <x:row r="6" ht="48" customHeight="1">
      <x:c r="A6" s="25" t="str">
        <x:v>No.</x:v>
      </x:c>
      <x:c r="B6" s="25" t="str">
        <x:v>Categoría oficial / sector</x:v>
      </x:c>
      <x:c r="C6" s="25" t="str">
        <x:v>Regla de análisis</x:v>
      </x:c>
      <x:c r="D6" s="25" t="str">
        <x:v>¿Aplicación automática?</x:v>
      </x:c>
      <x:c r="E6" s="25" t="str">
        <x:v>Fecha o condición relevante</x:v>
      </x:c>
      <x:c r="F6" s="25" t="str">
        <x:v>Documento interno de control</x:v>
      </x:c>
      <x:c r="G6" s="25" t="str">
        <x:v>Resultado del análisis</x:v>
      </x:c>
      <x:c r="H6" s="25" t="str">
        <x:v>Versión / resolución CCE</x:v>
      </x:c>
      <x:c r="I6" s="25" t="str">
        <x:v>Fecha de consulta</x:v>
      </x:c>
      <x:c r="J6" s="25" t="str">
        <x:v>Enlace oficial</x:v>
      </x:c>
      <x:c r="K6" s="25" t="str">
        <x:v>Responsable</x:v>
      </x:c>
      <x:c r="L6" s="25" t="str">
        <x:v>Evidencia / observación</x:v>
      </x:c>
    </x:row>
    <x:row r="7" ht="78" customHeight="1">
      <x:c r="A7" s="52" t="n">
        <x:v>1</x:v>
      </x:c>
      <x:c r="B7" s="52" t="str">
        <x:v>Infraestructura de transporte</x:v>
      </x:c>
      <x:c r="C7" s="52" t="str">
        <x:v>Verificar que el objeto, modalidad y alcance estén comprendidos en los Documentos Tipo vigentes del sector.</x:v>
      </x:c>
      <x:c r="D7" s="52" t="str">
        <x:v>No; requiere análisis del proceso</x:v>
      </x:c>
      <x:c r="E7" s="52" t="str">
        <x:v>Usar la versión vigente a la fecha del aviso o convocatoria.</x:v>
      </x:c>
      <x:c r="F7" s="52" t="str">
        <x:v>JC-FT-03-PROV</x:v>
      </x:c>
      <x:c r="G7" s="52" t="str">
        <x:v>Por diligenciar</x:v>
      </x:c>
      <x:c r="H7" s="52" t="str"/>
      <x:c r="I7" s="74" t="str">
        <x:v>31/07/2026</x:v>
      </x:c>
      <x:c r="J7" s="52" t="str">
        <x:v>https://www.colombiacompra.gov.co/documentos-tipo</x:v>
      </x:c>
      <x:c r="K7" s="52" t="str">
        <x:v>Estructurador y Jurídica</x:v>
      </x:c>
      <x:c r="L7" s="52" t="str">
        <x:v>Adjuntar ficha, consulta y versión utilizada.</x:v>
      </x:c>
    </x:row>
    <x:row r="8" ht="78" customHeight="1">
      <x:c r="A8" s="52" t="n">
        <x:v>2</x:v>
      </x:c>
      <x:c r="B8" s="52" t="str">
        <x:v>Agua potable y saneamiento básico</x:v>
      </x:c>
      <x:c r="C8" s="52" t="str">
        <x:v>Contrastar objeto, componente de obra/consultoría y demás reglas del Documento Tipo aplicable.</x:v>
      </x:c>
      <x:c r="D8" s="52" t="str">
        <x:v>No; requiere análisis del proceso</x:v>
      </x:c>
      <x:c r="E8" s="52" t="str">
        <x:v>Aplicar cuando el proceso se encuentre dentro del ámbito obligatorio.</x:v>
      </x:c>
      <x:c r="F8" s="52" t="str">
        <x:v>JC-FT-03-PROV</x:v>
      </x:c>
      <x:c r="G8" s="52" t="str">
        <x:v>Por diligenciar</x:v>
      </x:c>
      <x:c r="H8" s="52" t="str"/>
      <x:c r="I8" s="74" t="str">
        <x:v>31/07/2026</x:v>
      </x:c>
      <x:c r="J8" s="52" t="str">
        <x:v>https://www.colombiacompra.gov.co/documentos-tipo</x:v>
      </x:c>
      <x:c r="K8" s="52" t="str">
        <x:v>Estructurador y Jurídica</x:v>
      </x:c>
      <x:c r="L8" s="52" t="str">
        <x:v>Conservar PDF o enlace de la versión consultada.</x:v>
      </x:c>
    </x:row>
    <x:row r="9" ht="78" customHeight="1">
      <x:c r="A9" s="52" t="n">
        <x:v>3</x:v>
      </x:c>
      <x:c r="B9" s="52" t="str">
        <x:v>Catastro multipropósito</x:v>
      </x:c>
      <x:c r="C9" s="52" t="str">
        <x:v>Verificar si el objeto y modalidad se encuentran dentro del instrumento estandarizado vigente.</x:v>
      </x:c>
      <x:c r="D9" s="52" t="str">
        <x:v>No; requiere análisis del proceso</x:v>
      </x:c>
      <x:c r="E9" s="52" t="str">
        <x:v>Revisar anexos, perfiles, experiencia y condiciones sectoriales.</x:v>
      </x:c>
      <x:c r="F9" s="52" t="str">
        <x:v>JC-FT-03-PROV</x:v>
      </x:c>
      <x:c r="G9" s="52" t="str">
        <x:v>Por diligenciar</x:v>
      </x:c>
      <x:c r="H9" s="52" t="str"/>
      <x:c r="I9" s="74" t="str">
        <x:v>31/07/2026</x:v>
      </x:c>
      <x:c r="J9" s="52" t="str">
        <x:v>https://www.colombiacompra.gov.co/documentos-tipo</x:v>
      </x:c>
      <x:c r="K9" s="52" t="str">
        <x:v>Estructurador y Jurídica</x:v>
      </x:c>
      <x:c r="L9" s="52" t="str">
        <x:v>Documentar expresamente aplica / no aplica.</x:v>
      </x:c>
    </x:row>
    <x:row r="10" ht="78" customHeight="1">
      <x:c r="A10" s="52" t="n">
        <x:v>4</x:v>
      </x:c>
      <x:c r="B10" s="52" t="str">
        <x:v>Infraestructura social</x:v>
      </x:c>
      <x:c r="C10" s="52" t="str">
        <x:v>Comprende, según el instrumento vigente, sectores como educación, salud, recreación, institucional y vivienda, dentro de su alcance específico.</x:v>
      </x:c>
      <x:c r="D10" s="52" t="str">
        <x:v>No; requiere análisis del proceso</x:v>
      </x:c>
      <x:c r="E10" s="52" t="str">
        <x:v>Entrada en vigor informada por CCE: procesos con aviso desde el 16/02/2026, según alcance y versión.</x:v>
      </x:c>
      <x:c r="F10" s="52" t="str">
        <x:v>JC-FT-03-PROV</x:v>
      </x:c>
      <x:c r="G10" s="52" t="str">
        <x:v>Por diligenciar</x:v>
      </x:c>
      <x:c r="H10" s="52" t="str"/>
      <x:c r="I10" s="74" t="str">
        <x:v>31/07/2026</x:v>
      </x:c>
      <x:c r="J10" s="52" t="str">
        <x:v>https://www.colombiacompra.gov.co/archivos/noticias/colombia-compra-eficiente-expide-nuevos-documentos-tipo-para-infraestructura-social</x:v>
      </x:c>
      <x:c r="K10" s="52" t="str">
        <x:v>Estructurador y Jurídica</x:v>
      </x:c>
      <x:c r="L10" s="52" t="str">
        <x:v>Confirmar resolución, anexos y fecha del aviso.</x:v>
      </x:c>
    </x:row>
    <x:row r="11" ht="78" customHeight="1">
      <x:c r="A11" s="52" t="n">
        <x:v>5</x:v>
      </x:c>
      <x:c r="B11" s="52" t="str">
        <x:v>Acuerdos solidarios para obra pública</x:v>
      </x:c>
      <x:c r="C11" s="52" t="str">
        <x:v>Verificar sujeto, objeto, modalidad, cuantía, organismo de acción comunal y ámbito del Documento Tipo.</x:v>
      </x:c>
      <x:c r="D11" s="52" t="str">
        <x:v>No; requiere análisis del proceso</x:v>
      </x:c>
      <x:c r="E11" s="52" t="str">
        <x:v>Aplicar exclusivamente dentro de los supuestos del instrumento vigente.</x:v>
      </x:c>
      <x:c r="F11" s="52" t="str">
        <x:v>JC-FT-03-PROV</x:v>
      </x:c>
      <x:c r="G11" s="52" t="str">
        <x:v>Por diligenciar</x:v>
      </x:c>
      <x:c r="H11" s="52" t="str"/>
      <x:c r="I11" s="74" t="str">
        <x:v>31/07/2026</x:v>
      </x:c>
      <x:c r="J11" s="52" t="str">
        <x:v>https://www.colombiacompra.gov.co/documentos-tipo</x:v>
      </x:c>
      <x:c r="K11" s="52" t="str">
        <x:v>Estructurador y Jurídica</x:v>
      </x:c>
      <x:c r="L11" s="52" t="str">
        <x:v>No confundir con convenio interadministrativo o contrato común.</x:v>
      </x:c>
    </x:row>
    <x:row r="12" ht="78" customHeight="1">
      <x:c r="A12" s="52" t="n">
        <x:v>6</x:v>
      </x:c>
      <x:c r="B12" s="52" t="str">
        <x:v>Modificaciones de contratos de obra sujetos a Documentos Tipo</x:v>
      </x:c>
      <x:c r="C12" s="52" t="str">
        <x:v>Verificar los documentos estandarizados o lineamientos vigentes para modificaciones y su relación con el documento inicial.</x:v>
      </x:c>
      <x:c r="D12" s="52" t="str">
        <x:v>No; requiere análisis del contrato</x:v>
      </x:c>
      <x:c r="E12" s="52" t="str">
        <x:v>La modificación no puede alterar reglas imperativas ni el alcance legal del proceso.</x:v>
      </x:c>
      <x:c r="F12" s="52" t="str">
        <x:v>JC-FT-15-PROV</x:v>
      </x:c>
      <x:c r="G12" s="52" t="str">
        <x:v>Por diligenciar</x:v>
      </x:c>
      <x:c r="H12" s="52" t="str"/>
      <x:c r="I12" s="74" t="str">
        <x:v>31/07/2026</x:v>
      </x:c>
      <x:c r="J12" s="52" t="str">
        <x:v>https://www.colombiacompra.gov.co/documentos-tipo</x:v>
      </x:c>
      <x:c r="K12" s="52" t="str">
        <x:v>Supervisor, Jurídica y Ordenador</x:v>
      </x:c>
      <x:c r="L12" s="52" t="str">
        <x:v>Vincular estudios, justificación, presupuesto, riesgos y garantías.</x:v>
      </x:c>
    </x:row>
    <x:row r="13" ht="78" customHeight="1">
      <x:c r="A13" s="52" t="n">
        <x:v>7</x:v>
      </x:c>
      <x:c r="B13" s="52" t="str">
        <x:v>Proceso no comprendido en Documento Tipo obligatorio</x:v>
      </x:c>
      <x:c r="C13" s="52" t="str">
        <x:v>Solo después de consulta oficial y análisis documentado puede utilizarse el modelo interno de pliego.</x:v>
      </x:c>
      <x:c r="D13" s="52" t="str">
        <x:v>No</x:v>
      </x:c>
      <x:c r="E13" s="52" t="str">
        <x:v>Debe quedar motivada la conclusión de no aplicabilidad.</x:v>
      </x:c>
      <x:c r="F13" s="52" t="str">
        <x:v>JC-FT-03-PROV + JC-FT-05-PROV</x:v>
      </x:c>
      <x:c r="G13" s="52" t="str">
        <x:v>Por diligenciar</x:v>
      </x:c>
      <x:c r="H13" s="52" t="str"/>
      <x:c r="I13" s="74" t="str">
        <x:v>31/07/2026</x:v>
      </x:c>
      <x:c r="J13" s="52" t="str">
        <x:v>https://www.colombiacompra.gov.co/documentos-tipo</x:v>
      </x:c>
      <x:c r="K13" s="52" t="str">
        <x:v>Estructurador y Jurídica</x:v>
      </x:c>
      <x:c r="L13" s="52" t="str">
        <x:v>El modelo interno jamás debe presentarse como Documento Tipo CCE.</x:v>
      </x:c>
    </x:row>
  </x:sheetData>
  <x:mergeCells>
    <x:mergeCell ref="A1:L1"/>
    <x:mergeCell ref="A2:L4"/>
  </x:mergeCells>
  <x:conditionalFormatting sqref="G7:G13">
    <x:cfRule type="expression" dxfId="2" priority="1">
      <x:formula>G7="Aplica"</x:formula>
    </x:cfRule>
    <x:cfRule type="expression" dxfId="3" priority="2">
      <x:formula>G7="Por diligenciar"</x:formula>
    </x:cfRule>
  </x:conditionalFormatting>
  <x:dataValidations count="1">
    <x:dataValidation type="list" sqref="G7:G13">
      <x:formula1>"Por diligenciar,Aplica,No aplica,Aplicación parcial,Requiere concepto jurídico"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43" hidden="0" customWidth="1"/>
    <x:col min="3" max="3" width="30" hidden="0" customWidth="1"/>
    <x:col min="4" max="4" width="16" hidden="0" customWidth="1"/>
    <x:col min="5" max="5" width="16" hidden="0" customWidth="1"/>
    <x:col min="6" max="6" width="16" hidden="0" customWidth="1"/>
    <x:col min="7" max="7" width="19" hidden="0" customWidth="1"/>
    <x:col min="8" max="8" width="19" hidden="0" customWidth="1"/>
    <x:col min="9" max="9" width="20" hidden="0" customWidth="1"/>
    <x:col min="10" max="10" width="12" hidden="0" customWidth="1"/>
    <x:col min="11" max="11" width="20" hidden="0" customWidth="1"/>
    <x:col min="12" max="12" width="27" hidden="0" customWidth="1"/>
    <x:col min="13" max="13" width="17" hidden="0" customWidth="1"/>
    <x:col min="14" max="14" width="16" hidden="0" customWidth="1"/>
    <x:col min="15" max="15" width="14" hidden="0" customWidth="1"/>
    <x:col min="16" max="16" width="42" hidden="0" customWidth="1"/>
  </x:cols>
  <x:sheetData>
    <x:row r="1">
      <x:c r="A1" s="6" t="str">
        <x:v>CONTROL DE REVISIÓN, APROBACIÓN, VIGENCIA Y SUSTITUCIÓN</x:v>
      </x:c>
      <x:c r="B1" s="6"/>
      <x:c r="C1" s="6"/>
      <x:c r="D1" s="6"/>
      <x:c r="E1" s="6"/>
      <x:c r="F1" s="6"/>
      <x:c r="G1" s="6"/>
      <x:c r="H1" s="6"/>
      <x:c r="I1" s="6"/>
      <x:c r="J1" s="6"/>
      <x:c r="K1" s="6"/>
      <x:c r="L1" s="6"/>
      <x:c r="M1" s="6"/>
      <x:c r="N1" s="6"/>
      <x:c r="O1" s="6"/>
      <x:c r="P1" s="6"/>
    </x:row>
    <x:row r="2">
      <x:c r="A2" s="45" t="str">
        <x:v>Ningún código provisional, versión 0.1 o referencia TRD contenida en este paquete debe interpretarse como aprobación definitiva. La vigencia institucional inicia únicamente después de las revisiones requeridas, la aprobación por la instancia competente y la publicación controlada de la versión final.</x:v>
      </x:c>
      <x:c r="B2" s="45"/>
      <x:c r="C2" s="45"/>
      <x:c r="D2" s="45"/>
      <x:c r="E2" s="45"/>
      <x:c r="F2" s="45"/>
      <x:c r="G2" s="45"/>
      <x:c r="H2" s="45"/>
      <x:c r="I2" s="45"/>
      <x:c r="J2" s="45"/>
      <x:c r="K2" s="45"/>
      <x:c r="L2" s="45"/>
      <x:c r="M2" s="45"/>
      <x:c r="N2" s="45"/>
      <x:c r="O2" s="45"/>
      <x:c r="P2" s="45"/>
    </x:row>
    <x:row r="3">
      <x:c r="A3" s="45"/>
      <x:c r="B3" s="45"/>
      <x:c r="C3" s="45"/>
      <x:c r="D3" s="45"/>
      <x:c r="E3" s="45"/>
      <x:c r="F3" s="45"/>
      <x:c r="G3" s="45"/>
      <x:c r="H3" s="45"/>
      <x:c r="I3" s="45"/>
      <x:c r="J3" s="45"/>
      <x:c r="K3" s="45"/>
      <x:c r="L3" s="45"/>
      <x:c r="M3" s="45"/>
      <x:c r="N3" s="45"/>
      <x:c r="O3" s="45"/>
      <x:c r="P3" s="45"/>
    </x:row>
    <x:row r="4">
      <x:c r="A4" s="45"/>
      <x:c r="B4" s="45"/>
      <x:c r="C4" s="45"/>
      <x:c r="D4" s="45"/>
      <x:c r="E4" s="45"/>
      <x:c r="F4" s="45"/>
      <x:c r="G4" s="45"/>
      <x:c r="H4" s="45"/>
      <x:c r="I4" s="45"/>
      <x:c r="J4" s="45"/>
      <x:c r="K4" s="45"/>
      <x:c r="L4" s="45"/>
      <x:c r="M4" s="45"/>
      <x:c r="N4" s="45"/>
      <x:c r="O4" s="45"/>
      <x:c r="P4" s="45"/>
    </x:row>
    <x:row r="6" ht="48" customHeight="1">
      <x:c r="A6" s="25" t="str">
        <x:v>Código</x:v>
      </x:c>
      <x:c r="B6" s="25" t="str">
        <x:v>Formato</x:v>
      </x:c>
      <x:c r="C6" s="25" t="str">
        <x:v>Dueño del documento</x:v>
      </x:c>
      <x:c r="D6" s="25" t="str">
        <x:v>Revisión jurídica</x:v>
      </x:c>
      <x:c r="E6" s="25" t="str">
        <x:v>Revisión técnica</x:v>
      </x:c>
      <x:c r="F6" s="25" t="str">
        <x:v>Revisión calidad</x:v>
      </x:c>
      <x:c r="G6" s="25" t="str">
        <x:v>Revisión archivo / TRD</x:v>
      </x:c>
      <x:c r="H6" s="25" t="str">
        <x:v>Protección de datos</x:v>
      </x:c>
      <x:c r="I6" s="25" t="str">
        <x:v>Aprobación competente</x:v>
      </x:c>
      <x:c r="J6" s="25" t="str">
        <x:v>% de cierre</x:v>
      </x:c>
      <x:c r="K6" s="25" t="str">
        <x:v>Estado calculado</x:v>
      </x:c>
      <x:c r="L6" s="25" t="str">
        <x:v>Acto / acta de aprobación</x:v>
      </x:c>
      <x:c r="M6" s="25" t="str">
        <x:v>Código definitivo</x:v>
      </x:c>
      <x:c r="N6" s="25" t="str">
        <x:v>Versión definitiva</x:v>
      </x:c>
      <x:c r="O6" s="25" t="str">
        <x:v>Fecha de vigencia</x:v>
      </x:c>
      <x:c r="P6" s="25" t="str">
        <x:v>Observaciones</x:v>
      </x:c>
    </x:row>
    <x:row r="7" ht="48" customHeight="1">
      <x:c r="A7" s="52" t="str">
        <x:v>JC-GU-01-PROV</x:v>
      </x:c>
      <x:c r="B7" s="52" t="str">
        <x:v>Guía de publicación y uso transitorio de formatos contractuales</x:v>
      </x:c>
      <x:c r="C7" s="52" t="str">
        <x:v>Líder Jurídica y Contratación</x:v>
      </x:c>
      <x:c r="D7" s="52" t="str">
        <x:v>Pendiente</x:v>
      </x:c>
      <x:c r="E7" s="52" t="str">
        <x:v>Pendiente</x:v>
      </x:c>
      <x:c r="F7" s="52" t="str">
        <x:v>Pendiente</x:v>
      </x:c>
      <x:c r="G7" s="52" t="str">
        <x:v>Pendiente</x:v>
      </x:c>
      <x:c r="H7" s="52" t="str">
        <x:v>Pendiente</x:v>
      </x:c>
      <x:c r="I7" s="52" t="str">
        <x:v>Pendiente</x:v>
      </x:c>
      <x:c r="J7" s="72" t="n">
        <x:f>COUNTIF(D7:I7,"Aprobado")/6</x:f>
        <x:v>0</x:v>
      </x:c>
      <x:c r="K7" s="52" t="str">
        <x:f>IF(J7=1,"APROBADO Y VIGENTE",IF(COUNTIF(D7:I7,"En revisión")&gt;0,"EN REVISIÓN",IF(COUNTIF(D7:I7,"No aplica")=6,"REVISAR CONFIGURACIÓN","PENDIENTE")))</x:f>
        <x:v>PENDIENTE</x:v>
      </x:c>
      <x:c r="L7" s="52" t="str"/>
      <x:c r="M7" s="52" t="str"/>
      <x:c r="N7" s="52" t="str"/>
      <x:c r="O7" s="70" t="str"/>
      <x:c r="P7" s="52" t="str">
        <x:v>En proceso de revisión institucional.</x:v>
      </x:c>
    </x:row>
    <x:row r="8" ht="48" customHeight="1">
      <x:c r="A8" s="52" t="str">
        <x:v>JC-FT-01-PROV</x:v>
      </x:c>
      <x:c r="B8" s="52" t="str">
        <x:v>Formato de estudios y documentos previos</x:v>
      </x:c>
      <x:c r="C8" s="52" t="str">
        <x:v>Líder Jurídica y Contratación</x:v>
      </x:c>
      <x:c r="D8" s="52" t="str">
        <x:v>Pendiente</x:v>
      </x:c>
      <x:c r="E8" s="52" t="str">
        <x:v>Pendiente</x:v>
      </x:c>
      <x:c r="F8" s="52" t="str">
        <x:v>Pendiente</x:v>
      </x:c>
      <x:c r="G8" s="52" t="str">
        <x:v>Pendiente</x:v>
      </x:c>
      <x:c r="H8" s="52" t="str">
        <x:v>Pendiente</x:v>
      </x:c>
      <x:c r="I8" s="52" t="str">
        <x:v>Pendiente</x:v>
      </x:c>
      <x:c r="J8" s="72" t="n">
        <x:f>COUNTIF(D8:I8,"Aprobado")/6</x:f>
        <x:v>0</x:v>
      </x:c>
      <x:c r="K8" s="52" t="str">
        <x:f>IF(J8=1,"APROBADO Y VIGENTE",IF(COUNTIF(D8:I8,"En revisión")&gt;0,"EN REVISIÓN",IF(COUNTIF(D8:I8,"No aplica")=6,"REVISAR CONFIGURACIÓN","PENDIENTE")))</x:f>
        <x:v>PENDIENTE</x:v>
      </x:c>
      <x:c r="L8" s="52" t="str"/>
      <x:c r="M8" s="52" t="str"/>
      <x:c r="N8" s="52" t="str"/>
      <x:c r="O8" s="70" t="str"/>
      <x:c r="P8" s="52" t="str">
        <x:v>En proceso de revisión institucional.</x:v>
      </x:c>
    </x:row>
    <x:row r="9" ht="48" customHeight="1">
      <x:c r="A9" s="52" t="str">
        <x:v>JC-FT-02-PROV</x:v>
      </x:c>
      <x:c r="B9" s="52" t="str">
        <x:v>Formato de análisis del sector y estudio de mercado</x:v>
      </x:c>
      <x:c r="C9" s="52" t="str">
        <x:v>Líder Jurídica y Contratación</x:v>
      </x:c>
      <x:c r="D9" s="52" t="str">
        <x:v>Pendiente</x:v>
      </x:c>
      <x:c r="E9" s="52" t="str">
        <x:v>Pendiente</x:v>
      </x:c>
      <x:c r="F9" s="52" t="str">
        <x:v>Pendiente</x:v>
      </x:c>
      <x:c r="G9" s="52" t="str">
        <x:v>Pendiente</x:v>
      </x:c>
      <x:c r="H9" s="52" t="str">
        <x:v>Pendiente</x:v>
      </x:c>
      <x:c r="I9" s="52" t="str">
        <x:v>Pendiente</x:v>
      </x:c>
      <x:c r="J9" s="72" t="n">
        <x:f>COUNTIF(D9:I9,"Aprobado")/6</x:f>
        <x:v>0</x:v>
      </x:c>
      <x:c r="K9" s="52" t="str">
        <x:f>IF(J9=1,"APROBADO Y VIGENTE",IF(COUNTIF(D9:I9,"En revisión")&gt;0,"EN REVISIÓN",IF(COUNTIF(D9:I9,"No aplica")=6,"REVISAR CONFIGURACIÓN","PENDIENTE")))</x:f>
        <x:v>PENDIENTE</x:v>
      </x:c>
      <x:c r="L9" s="52" t="str"/>
      <x:c r="M9" s="52" t="str"/>
      <x:c r="N9" s="52" t="str"/>
      <x:c r="O9" s="70" t="str"/>
      <x:c r="P9" s="52" t="str">
        <x:v>En proceso de revisión institucional.</x:v>
      </x:c>
    </x:row>
    <x:row r="10" ht="48" customHeight="1">
      <x:c r="A10" s="52" t="str">
        <x:v>JC-FT-03-PROV</x:v>
      </x:c>
      <x:c r="B10" s="52" t="str">
        <x:v>Ficha de aplicabilidad de Documentos Tipo</x:v>
      </x:c>
      <x:c r="C10" s="52" t="str">
        <x:v>Líder Jurídica y Contratación</x:v>
      </x:c>
      <x:c r="D10" s="52" t="str">
        <x:v>Pendiente</x:v>
      </x:c>
      <x:c r="E10" s="52" t="str">
        <x:v>Pendiente</x:v>
      </x:c>
      <x:c r="F10" s="52" t="str">
        <x:v>Pendiente</x:v>
      </x:c>
      <x:c r="G10" s="52" t="str">
        <x:v>Pendiente</x:v>
      </x:c>
      <x:c r="H10" s="52" t="str">
        <x:v>Pendiente</x:v>
      </x:c>
      <x:c r="I10" s="52" t="str">
        <x:v>Pendiente</x:v>
      </x:c>
      <x:c r="J10" s="72" t="n">
        <x:f>COUNTIF(D10:I10,"Aprobado")/6</x:f>
        <x:v>0</x:v>
      </x:c>
      <x:c r="K10" s="52" t="str">
        <x:f>IF(J10=1,"APROBADO Y VIGENTE",IF(COUNTIF(D10:I10,"En revisión")&gt;0,"EN REVISIÓN",IF(COUNTIF(D10:I10,"No aplica")=6,"REVISAR CONFIGURACIÓN","PENDIENTE")))</x:f>
        <x:v>PENDIENTE</x:v>
      </x:c>
      <x:c r="L10" s="52" t="str"/>
      <x:c r="M10" s="52" t="str"/>
      <x:c r="N10" s="52" t="str"/>
      <x:c r="O10" s="70" t="str"/>
      <x:c r="P10" s="52" t="str">
        <x:v>En proceso de revisión institucional.</x:v>
      </x:c>
    </x:row>
    <x:row r="11" ht="48" customHeight="1">
      <x:c r="A11" s="52" t="str">
        <x:v>JC-FT-04-PROV</x:v>
      </x:c>
      <x:c r="B11" s="52" t="str">
        <x:v>Modelo de invitación pública de mínima cuantía</x:v>
      </x:c>
      <x:c r="C11" s="52" t="str">
        <x:v>Líder Jurídica y Contratación</x:v>
      </x:c>
      <x:c r="D11" s="52" t="str">
        <x:v>Pendiente</x:v>
      </x:c>
      <x:c r="E11" s="52" t="str">
        <x:v>Pendiente</x:v>
      </x:c>
      <x:c r="F11" s="52" t="str">
        <x:v>Pendiente</x:v>
      </x:c>
      <x:c r="G11" s="52" t="str">
        <x:v>Pendiente</x:v>
      </x:c>
      <x:c r="H11" s="52" t="str">
        <x:v>Pendiente</x:v>
      </x:c>
      <x:c r="I11" s="52" t="str">
        <x:v>Pendiente</x:v>
      </x:c>
      <x:c r="J11" s="72" t="n">
        <x:f>COUNTIF(D11:I11,"Aprobado")/6</x:f>
        <x:v>0</x:v>
      </x:c>
      <x:c r="K11" s="52" t="str">
        <x:f>IF(J11=1,"APROBADO Y VIGENTE",IF(COUNTIF(D11:I11,"En revisión")&gt;0,"EN REVISIÓN",IF(COUNTIF(D11:I11,"No aplica")=6,"REVISAR CONFIGURACIÓN","PENDIENTE")))</x:f>
        <x:v>PENDIENTE</x:v>
      </x:c>
      <x:c r="L11" s="52" t="str"/>
      <x:c r="M11" s="52" t="str"/>
      <x:c r="N11" s="52" t="str"/>
      <x:c r="O11" s="70" t="str"/>
      <x:c r="P11" s="52" t="str">
        <x:v>En proceso de revisión institucional.</x:v>
      </x:c>
    </x:row>
    <x:row r="12" ht="48" customHeight="1">
      <x:c r="A12" s="52" t="str">
        <x:v>JC-FT-05-PROV</x:v>
      </x:c>
      <x:c r="B12" s="52" t="str">
        <x:v>Modelo base de pliego para procesos no sujetos a Documentos Tipo</x:v>
      </x:c>
      <x:c r="C12" s="52" t="str">
        <x:v>Líder Jurídica y Contratación</x:v>
      </x:c>
      <x:c r="D12" s="52" t="str">
        <x:v>Pendiente</x:v>
      </x:c>
      <x:c r="E12" s="52" t="str">
        <x:v>Pendiente</x:v>
      </x:c>
      <x:c r="F12" s="52" t="str">
        <x:v>Pendiente</x:v>
      </x:c>
      <x:c r="G12" s="52" t="str">
        <x:v>Pendiente</x:v>
      </x:c>
      <x:c r="H12" s="52" t="str">
        <x:v>Pendiente</x:v>
      </x:c>
      <x:c r="I12" s="52" t="str">
        <x:v>Pendiente</x:v>
      </x:c>
      <x:c r="J12" s="72" t="n">
        <x:f>COUNTIF(D12:I12,"Aprobado")/6</x:f>
        <x:v>0</x:v>
      </x:c>
      <x:c r="K12" s="52" t="str">
        <x:f>IF(J12=1,"APROBADO Y VIGENTE",IF(COUNTIF(D12:I12,"En revisión")&gt;0,"EN REVISIÓN",IF(COUNTIF(D12:I12,"No aplica")=6,"REVISAR CONFIGURACIÓN","PENDIENTE")))</x:f>
        <x:v>PENDIENTE</x:v>
      </x:c>
      <x:c r="L12" s="52" t="str"/>
      <x:c r="M12" s="52" t="str"/>
      <x:c r="N12" s="52" t="str"/>
      <x:c r="O12" s="70" t="str"/>
      <x:c r="P12" s="52" t="str">
        <x:v>En proceso de revisión institucional.</x:v>
      </x:c>
    </x:row>
    <x:row r="13" ht="48" customHeight="1">
      <x:c r="A13" s="52" t="str">
        <x:v>JC-FT-06-PROV</x:v>
      </x:c>
      <x:c r="B13" s="52" t="str">
        <x:v>Formato de informe de evaluación de ofertas</x:v>
      </x:c>
      <x:c r="C13" s="52" t="str">
        <x:v>Líder Jurídica y Contratación</x:v>
      </x:c>
      <x:c r="D13" s="52" t="str">
        <x:v>Pendiente</x:v>
      </x:c>
      <x:c r="E13" s="52" t="str">
        <x:v>Pendiente</x:v>
      </x:c>
      <x:c r="F13" s="52" t="str">
        <x:v>Pendiente</x:v>
      </x:c>
      <x:c r="G13" s="52" t="str">
        <x:v>Pendiente</x:v>
      </x:c>
      <x:c r="H13" s="52" t="str">
        <x:v>Pendiente</x:v>
      </x:c>
      <x:c r="I13" s="52" t="str">
        <x:v>Pendiente</x:v>
      </x:c>
      <x:c r="J13" s="72" t="n">
        <x:f>COUNTIF(D13:I13,"Aprobado")/6</x:f>
        <x:v>0</x:v>
      </x:c>
      <x:c r="K13" s="52" t="str">
        <x:f>IF(J13=1,"APROBADO Y VIGENTE",IF(COUNTIF(D13:I13,"En revisión")&gt;0,"EN REVISIÓN",IF(COUNTIF(D13:I13,"No aplica")=6,"REVISAR CONFIGURACIÓN","PENDIENTE")))</x:f>
        <x:v>PENDIENTE</x:v>
      </x:c>
      <x:c r="L13" s="52" t="str"/>
      <x:c r="M13" s="52" t="str"/>
      <x:c r="N13" s="52" t="str"/>
      <x:c r="O13" s="70" t="str"/>
      <x:c r="P13" s="52" t="str">
        <x:v>En proceso de revisión institucional.</x:v>
      </x:c>
    </x:row>
    <x:row r="14" ht="48" customHeight="1">
      <x:c r="A14" s="52" t="str">
        <x:v>JC-FT-07-PROV</x:v>
      </x:c>
      <x:c r="B14" s="52" t="str">
        <x:v>Modelo de contrato de prestación de servicios profesionales</x:v>
      </x:c>
      <x:c r="C14" s="52" t="str">
        <x:v>Líder Jurídica y Contratación</x:v>
      </x:c>
      <x:c r="D14" s="52" t="str">
        <x:v>Pendiente</x:v>
      </x:c>
      <x:c r="E14" s="52" t="str">
        <x:v>Pendiente</x:v>
      </x:c>
      <x:c r="F14" s="52" t="str">
        <x:v>Pendiente</x:v>
      </x:c>
      <x:c r="G14" s="52" t="str">
        <x:v>Pendiente</x:v>
      </x:c>
      <x:c r="H14" s="52" t="str">
        <x:v>Pendiente</x:v>
      </x:c>
      <x:c r="I14" s="52" t="str">
        <x:v>Pendiente</x:v>
      </x:c>
      <x:c r="J14" s="72" t="n">
        <x:f>COUNTIF(D14:I14,"Aprobado")/6</x:f>
        <x:v>0</x:v>
      </x:c>
      <x:c r="K14" s="52" t="str">
        <x:f>IF(J14=1,"APROBADO Y VIGENTE",IF(COUNTIF(D14:I14,"En revisión")&gt;0,"EN REVISIÓN",IF(COUNTIF(D14:I14,"No aplica")=6,"REVISAR CONFIGURACIÓN","PENDIENTE")))</x:f>
        <x:v>PENDIENTE</x:v>
      </x:c>
      <x:c r="L14" s="52" t="str"/>
      <x:c r="M14" s="52" t="str"/>
      <x:c r="N14" s="52" t="str"/>
      <x:c r="O14" s="70" t="str"/>
      <x:c r="P14" s="52" t="str">
        <x:v>En proceso de revisión institucional.</x:v>
      </x:c>
    </x:row>
    <x:row r="15" ht="48" customHeight="1">
      <x:c r="A15" s="52" t="str">
        <x:v>JC-FT-08-PROV</x:v>
      </x:c>
      <x:c r="B15" s="52" t="str">
        <x:v>Modelo de contrato de prestación de servicios de apoyo a la gestión</x:v>
      </x:c>
      <x:c r="C15" s="52" t="str">
        <x:v>Líder Jurídica y Contratación</x:v>
      </x:c>
      <x:c r="D15" s="52" t="str">
        <x:v>Pendiente</x:v>
      </x:c>
      <x:c r="E15" s="52" t="str">
        <x:v>Pendiente</x:v>
      </x:c>
      <x:c r="F15" s="52" t="str">
        <x:v>Pendiente</x:v>
      </x:c>
      <x:c r="G15" s="52" t="str">
        <x:v>Pendiente</x:v>
      </x:c>
      <x:c r="H15" s="52" t="str">
        <x:v>Pendiente</x:v>
      </x:c>
      <x:c r="I15" s="52" t="str">
        <x:v>Pendiente</x:v>
      </x:c>
      <x:c r="J15" s="72" t="n">
        <x:f>COUNTIF(D15:I15,"Aprobado")/6</x:f>
        <x:v>0</x:v>
      </x:c>
      <x:c r="K15" s="52" t="str">
        <x:f>IF(J15=1,"APROBADO Y VIGENTE",IF(COUNTIF(D15:I15,"En revisión")&gt;0,"EN REVISIÓN",IF(COUNTIF(D15:I15,"No aplica")=6,"REVISAR CONFIGURACIÓN","PENDIENTE")))</x:f>
        <x:v>PENDIENTE</x:v>
      </x:c>
      <x:c r="L15" s="52" t="str"/>
      <x:c r="M15" s="52" t="str"/>
      <x:c r="N15" s="52" t="str"/>
      <x:c r="O15" s="70" t="str"/>
      <x:c r="P15" s="52" t="str">
        <x:v>En proceso de revisión institucional.</x:v>
      </x:c>
    </x:row>
    <x:row r="16" ht="48" customHeight="1">
      <x:c r="A16" s="52" t="str">
        <x:v>JC-FT-09-PROV</x:v>
      </x:c>
      <x:c r="B16" s="52" t="str">
        <x:v>Modelo de contrato de suministro</x:v>
      </x:c>
      <x:c r="C16" s="52" t="str">
        <x:v>Líder Jurídica y Contratación</x:v>
      </x:c>
      <x:c r="D16" s="52" t="str">
        <x:v>Pendiente</x:v>
      </x:c>
      <x:c r="E16" s="52" t="str">
        <x:v>Pendiente</x:v>
      </x:c>
      <x:c r="F16" s="52" t="str">
        <x:v>Pendiente</x:v>
      </x:c>
      <x:c r="G16" s="52" t="str">
        <x:v>Pendiente</x:v>
      </x:c>
      <x:c r="H16" s="52" t="str">
        <x:v>Pendiente</x:v>
      </x:c>
      <x:c r="I16" s="52" t="str">
        <x:v>Pendiente</x:v>
      </x:c>
      <x:c r="J16" s="72" t="n">
        <x:f>COUNTIF(D16:I16,"Aprobado")/6</x:f>
        <x:v>0</x:v>
      </x:c>
      <x:c r="K16" s="52" t="str">
        <x:f>IF(J16=1,"APROBADO Y VIGENTE",IF(COUNTIF(D16:I16,"En revisión")&gt;0,"EN REVISIÓN",IF(COUNTIF(D16:I16,"No aplica")=6,"REVISAR CONFIGURACIÓN","PENDIENTE")))</x:f>
        <x:v>PENDIENTE</x:v>
      </x:c>
      <x:c r="L16" s="52" t="str"/>
      <x:c r="M16" s="52" t="str"/>
      <x:c r="N16" s="52" t="str"/>
      <x:c r="O16" s="70" t="str"/>
      <x:c r="P16" s="52" t="str">
        <x:v>En proceso de revisión institucional.</x:v>
      </x:c>
    </x:row>
    <x:row r="17" ht="48" customHeight="1">
      <x:c r="A17" s="52" t="str">
        <x:v>JC-FT-10-PROV</x:v>
      </x:c>
      <x:c r="B17" s="52" t="str">
        <x:v>Modelo de contrato de obra pública</x:v>
      </x:c>
      <x:c r="C17" s="52" t="str">
        <x:v>Líder Jurídica y Contratación</x:v>
      </x:c>
      <x:c r="D17" s="52" t="str">
        <x:v>Pendiente</x:v>
      </x:c>
      <x:c r="E17" s="52" t="str">
        <x:v>Pendiente</x:v>
      </x:c>
      <x:c r="F17" s="52" t="str">
        <x:v>Pendiente</x:v>
      </x:c>
      <x:c r="G17" s="52" t="str">
        <x:v>Pendiente</x:v>
      </x:c>
      <x:c r="H17" s="52" t="str">
        <x:v>Pendiente</x:v>
      </x:c>
      <x:c r="I17" s="52" t="str">
        <x:v>Pendiente</x:v>
      </x:c>
      <x:c r="J17" s="72" t="n">
        <x:f>COUNTIF(D17:I17,"Aprobado")/6</x:f>
        <x:v>0</x:v>
      </x:c>
      <x:c r="K17" s="52" t="str">
        <x:f>IF(J17=1,"APROBADO Y VIGENTE",IF(COUNTIF(D17:I17,"En revisión")&gt;0,"EN REVISIÓN",IF(COUNTIF(D17:I17,"No aplica")=6,"REVISAR CONFIGURACIÓN","PENDIENTE")))</x:f>
        <x:v>PENDIENTE</x:v>
      </x:c>
      <x:c r="L17" s="52" t="str"/>
      <x:c r="M17" s="52" t="str"/>
      <x:c r="N17" s="52" t="str"/>
      <x:c r="O17" s="70" t="str"/>
      <x:c r="P17" s="52" t="str">
        <x:v>En proceso de revisión institucional.</x:v>
      </x:c>
    </x:row>
    <x:row r="18" ht="48" customHeight="1">
      <x:c r="A18" s="52" t="str">
        <x:v>JC-FT-11-PROV</x:v>
      </x:c>
      <x:c r="B18" s="52" t="str">
        <x:v>Modelo de contrato de consultoría e interventoría</x:v>
      </x:c>
      <x:c r="C18" s="52" t="str">
        <x:v>Líder Jurídica y Contratación</x:v>
      </x:c>
      <x:c r="D18" s="52" t="str">
        <x:v>Pendiente</x:v>
      </x:c>
      <x:c r="E18" s="52" t="str">
        <x:v>Pendiente</x:v>
      </x:c>
      <x:c r="F18" s="52" t="str">
        <x:v>Pendiente</x:v>
      </x:c>
      <x:c r="G18" s="52" t="str">
        <x:v>Pendiente</x:v>
      </x:c>
      <x:c r="H18" s="52" t="str">
        <x:v>Pendiente</x:v>
      </x:c>
      <x:c r="I18" s="52" t="str">
        <x:v>Pendiente</x:v>
      </x:c>
      <x:c r="J18" s="72" t="n">
        <x:f>COUNTIF(D18:I18,"Aprobado")/6</x:f>
        <x:v>0</x:v>
      </x:c>
      <x:c r="K18" s="52" t="str">
        <x:f>IF(J18=1,"APROBADO Y VIGENTE",IF(COUNTIF(D18:I18,"En revisión")&gt;0,"EN REVISIÓN",IF(COUNTIF(D18:I18,"No aplica")=6,"REVISAR CONFIGURACIÓN","PENDIENTE")))</x:f>
        <x:v>PENDIENTE</x:v>
      </x:c>
      <x:c r="L18" s="52" t="str"/>
      <x:c r="M18" s="52" t="str"/>
      <x:c r="N18" s="52" t="str"/>
      <x:c r="O18" s="70" t="str"/>
      <x:c r="P18" s="52" t="str">
        <x:v>En proceso de revisión institucional.</x:v>
      </x:c>
    </x:row>
    <x:row r="19" ht="48" customHeight="1">
      <x:c r="A19" s="52" t="str">
        <x:v>JC-FT-12-PROV</x:v>
      </x:c>
      <x:c r="B19" s="52" t="str">
        <x:v>Formato de acta de inicio</x:v>
      </x:c>
      <x:c r="C19" s="52" t="str">
        <x:v>Líder Jurídica y Contratación</x:v>
      </x:c>
      <x:c r="D19" s="52" t="str">
        <x:v>Pendiente</x:v>
      </x:c>
      <x:c r="E19" s="52" t="str">
        <x:v>Pendiente</x:v>
      </x:c>
      <x:c r="F19" s="52" t="str">
        <x:v>Pendiente</x:v>
      </x:c>
      <x:c r="G19" s="52" t="str">
        <x:v>Pendiente</x:v>
      </x:c>
      <x:c r="H19" s="52" t="str">
        <x:v>Pendiente</x:v>
      </x:c>
      <x:c r="I19" s="52" t="str">
        <x:v>Pendiente</x:v>
      </x:c>
      <x:c r="J19" s="72" t="n">
        <x:f>COUNTIF(D19:I19,"Aprobado")/6</x:f>
        <x:v>0</x:v>
      </x:c>
      <x:c r="K19" s="52" t="str">
        <x:f>IF(J19=1,"APROBADO Y VIGENTE",IF(COUNTIF(D19:I19,"En revisión")&gt;0,"EN REVISIÓN",IF(COUNTIF(D19:I19,"No aplica")=6,"REVISAR CONFIGURACIÓN","PENDIENTE")))</x:f>
        <x:v>PENDIENTE</x:v>
      </x:c>
      <x:c r="L19" s="52" t="str"/>
      <x:c r="M19" s="52" t="str"/>
      <x:c r="N19" s="52" t="str"/>
      <x:c r="O19" s="70" t="str"/>
      <x:c r="P19" s="52" t="str">
        <x:v>En proceso de revisión institucional.</x:v>
      </x:c>
    </x:row>
    <x:row r="20" ht="48" customHeight="1">
      <x:c r="A20" s="52" t="str">
        <x:v>JC-FT-13-PROV</x:v>
      </x:c>
      <x:c r="B20" s="52" t="str">
        <x:v>Formato de acta de suspensión</x:v>
      </x:c>
      <x:c r="C20" s="52" t="str">
        <x:v>Líder Jurídica y Contratación</x:v>
      </x:c>
      <x:c r="D20" s="52" t="str">
        <x:v>Pendiente</x:v>
      </x:c>
      <x:c r="E20" s="52" t="str">
        <x:v>Pendiente</x:v>
      </x:c>
      <x:c r="F20" s="52" t="str">
        <x:v>Pendiente</x:v>
      </x:c>
      <x:c r="G20" s="52" t="str">
        <x:v>Pendiente</x:v>
      </x:c>
      <x:c r="H20" s="52" t="str">
        <x:v>Pendiente</x:v>
      </x:c>
      <x:c r="I20" s="52" t="str">
        <x:v>Pendiente</x:v>
      </x:c>
      <x:c r="J20" s="72" t="n">
        <x:f>COUNTIF(D20:I20,"Aprobado")/6</x:f>
        <x:v>0</x:v>
      </x:c>
      <x:c r="K20" s="52" t="str">
        <x:f>IF(J20=1,"APROBADO Y VIGENTE",IF(COUNTIF(D20:I20,"En revisión")&gt;0,"EN REVISIÓN",IF(COUNTIF(D20:I20,"No aplica")=6,"REVISAR CONFIGURACIÓN","PENDIENTE")))</x:f>
        <x:v>PENDIENTE</x:v>
      </x:c>
      <x:c r="L20" s="52" t="str"/>
      <x:c r="M20" s="52" t="str"/>
      <x:c r="N20" s="52" t="str"/>
      <x:c r="O20" s="70" t="str"/>
      <x:c r="P20" s="52" t="str">
        <x:v>En proceso de revisión institucional.</x:v>
      </x:c>
    </x:row>
    <x:row r="21" ht="48" customHeight="1">
      <x:c r="A21" s="52" t="str">
        <x:v>JC-FT-14-PROV</x:v>
      </x:c>
      <x:c r="B21" s="52" t="str">
        <x:v>Formato de acta de reinicio</x:v>
      </x:c>
      <x:c r="C21" s="52" t="str">
        <x:v>Líder Jurídica y Contratación</x:v>
      </x:c>
      <x:c r="D21" s="52" t="str">
        <x:v>Pendiente</x:v>
      </x:c>
      <x:c r="E21" s="52" t="str">
        <x:v>Pendiente</x:v>
      </x:c>
      <x:c r="F21" s="52" t="str">
        <x:v>Pendiente</x:v>
      </x:c>
      <x:c r="G21" s="52" t="str">
        <x:v>Pendiente</x:v>
      </x:c>
      <x:c r="H21" s="52" t="str">
        <x:v>Pendiente</x:v>
      </x:c>
      <x:c r="I21" s="52" t="str">
        <x:v>Pendiente</x:v>
      </x:c>
      <x:c r="J21" s="72" t="n">
        <x:f>COUNTIF(D21:I21,"Aprobado")/6</x:f>
        <x:v>0</x:v>
      </x:c>
      <x:c r="K21" s="52" t="str">
        <x:f>IF(J21=1,"APROBADO Y VIGENTE",IF(COUNTIF(D21:I21,"En revisión")&gt;0,"EN REVISIÓN",IF(COUNTIF(D21:I21,"No aplica")=6,"REVISAR CONFIGURACIÓN","PENDIENTE")))</x:f>
        <x:v>PENDIENTE</x:v>
      </x:c>
      <x:c r="L21" s="52" t="str"/>
      <x:c r="M21" s="52" t="str"/>
      <x:c r="N21" s="52" t="str"/>
      <x:c r="O21" s="70" t="str"/>
      <x:c r="P21" s="52" t="str">
        <x:v>En proceso de revisión institucional.</x:v>
      </x:c>
    </x:row>
    <x:row r="22" ht="48" customHeight="1">
      <x:c r="A22" s="52" t="str">
        <x:v>JC-FT-15-PROV</x:v>
      </x:c>
      <x:c r="B22" s="52" t="str">
        <x:v>Formato de solicitud y justificación de modificación, adición o prórroga</x:v>
      </x:c>
      <x:c r="C22" s="52" t="str">
        <x:v>Líder Jurídica y Contratación</x:v>
      </x:c>
      <x:c r="D22" s="52" t="str">
        <x:v>Pendiente</x:v>
      </x:c>
      <x:c r="E22" s="52" t="str">
        <x:v>Pendiente</x:v>
      </x:c>
      <x:c r="F22" s="52" t="str">
        <x:v>Pendiente</x:v>
      </x:c>
      <x:c r="G22" s="52" t="str">
        <x:v>Pendiente</x:v>
      </x:c>
      <x:c r="H22" s="52" t="str">
        <x:v>Pendiente</x:v>
      </x:c>
      <x:c r="I22" s="52" t="str">
        <x:v>Pendiente</x:v>
      </x:c>
      <x:c r="J22" s="72" t="n">
        <x:f>COUNTIF(D22:I22,"Aprobado")/6</x:f>
        <x:v>0</x:v>
      </x:c>
      <x:c r="K22" s="52" t="str">
        <x:f>IF(J22=1,"APROBADO Y VIGENTE",IF(COUNTIF(D22:I22,"En revisión")&gt;0,"EN REVISIÓN",IF(COUNTIF(D22:I22,"No aplica")=6,"REVISAR CONFIGURACIÓN","PENDIENTE")))</x:f>
        <x:v>PENDIENTE</x:v>
      </x:c>
      <x:c r="L22" s="52" t="str"/>
      <x:c r="M22" s="52" t="str"/>
      <x:c r="N22" s="52" t="str"/>
      <x:c r="O22" s="70" t="str"/>
      <x:c r="P22" s="52" t="str">
        <x:v>En proceso de revisión institucional.</x:v>
      </x:c>
    </x:row>
    <x:row r="23" ht="48" customHeight="1">
      <x:c r="A23" s="52" t="str">
        <x:v>JC-FT-16-PROV</x:v>
      </x:c>
      <x:c r="B23" s="52" t="str">
        <x:v>Formato de informe periódico del contratista</x:v>
      </x:c>
      <x:c r="C23" s="52" t="str">
        <x:v>Líder Jurídica y Contratación</x:v>
      </x:c>
      <x:c r="D23" s="52" t="str">
        <x:v>Pendiente</x:v>
      </x:c>
      <x:c r="E23" s="52" t="str">
        <x:v>Pendiente</x:v>
      </x:c>
      <x:c r="F23" s="52" t="str">
        <x:v>Pendiente</x:v>
      </x:c>
      <x:c r="G23" s="52" t="str">
        <x:v>Pendiente</x:v>
      </x:c>
      <x:c r="H23" s="52" t="str">
        <x:v>Pendiente</x:v>
      </x:c>
      <x:c r="I23" s="52" t="str">
        <x:v>Pendiente</x:v>
      </x:c>
      <x:c r="J23" s="72" t="n">
        <x:f>COUNTIF(D23:I23,"Aprobado")/6</x:f>
        <x:v>0</x:v>
      </x:c>
      <x:c r="K23" s="52" t="str">
        <x:f>IF(J23=1,"APROBADO Y VIGENTE",IF(COUNTIF(D23:I23,"En revisión")&gt;0,"EN REVISIÓN",IF(COUNTIF(D23:I23,"No aplica")=6,"REVISAR CONFIGURACIÓN","PENDIENTE")))</x:f>
        <x:v>PENDIENTE</x:v>
      </x:c>
      <x:c r="L23" s="52" t="str"/>
      <x:c r="M23" s="52" t="str"/>
      <x:c r="N23" s="52" t="str"/>
      <x:c r="O23" s="70" t="str"/>
      <x:c r="P23" s="52" t="str">
        <x:v>En proceso de revisión institucional.</x:v>
      </x:c>
    </x:row>
    <x:row r="24" ht="48" customHeight="1">
      <x:c r="A24" s="52" t="str">
        <x:v>JC-FT-17-PROV</x:v>
      </x:c>
      <x:c r="B24" s="52" t="str">
        <x:v>Formato de informe de supervisión o interventoría</x:v>
      </x:c>
      <x:c r="C24" s="52" t="str">
        <x:v>Líder Jurídica y Contratación</x:v>
      </x:c>
      <x:c r="D24" s="52" t="str">
        <x:v>Pendiente</x:v>
      </x:c>
      <x:c r="E24" s="52" t="str">
        <x:v>Pendiente</x:v>
      </x:c>
      <x:c r="F24" s="52" t="str">
        <x:v>Pendiente</x:v>
      </x:c>
      <x:c r="G24" s="52" t="str">
        <x:v>Pendiente</x:v>
      </x:c>
      <x:c r="H24" s="52" t="str">
        <x:v>Pendiente</x:v>
      </x:c>
      <x:c r="I24" s="52" t="str">
        <x:v>Pendiente</x:v>
      </x:c>
      <x:c r="J24" s="72" t="n">
        <x:f>COUNTIF(D24:I24,"Aprobado")/6</x:f>
        <x:v>0</x:v>
      </x:c>
      <x:c r="K24" s="52" t="str">
        <x:f>IF(J24=1,"APROBADO Y VIGENTE",IF(COUNTIF(D24:I24,"En revisión")&gt;0,"EN REVISIÓN",IF(COUNTIF(D24:I24,"No aplica")=6,"REVISAR CONFIGURACIÓN","PENDIENTE")))</x:f>
        <x:v>PENDIENTE</x:v>
      </x:c>
      <x:c r="L24" s="52" t="str"/>
      <x:c r="M24" s="52" t="str"/>
      <x:c r="N24" s="52" t="str"/>
      <x:c r="O24" s="70" t="str"/>
      <x:c r="P24" s="52" t="str">
        <x:v>En proceso de revisión institucional.</x:v>
      </x:c>
    </x:row>
    <x:row r="25" ht="48" customHeight="1">
      <x:c r="A25" s="52" t="str">
        <x:v>JC-FT-18-PROV</x:v>
      </x:c>
      <x:c r="B25" s="52" t="str">
        <x:v>Formato de certificación de cumplimiento y autorización de pago</x:v>
      </x:c>
      <x:c r="C25" s="52" t="str">
        <x:v>Líder Jurídica y Contratación</x:v>
      </x:c>
      <x:c r="D25" s="52" t="str">
        <x:v>Pendiente</x:v>
      </x:c>
      <x:c r="E25" s="52" t="str">
        <x:v>Pendiente</x:v>
      </x:c>
      <x:c r="F25" s="52" t="str">
        <x:v>Pendiente</x:v>
      </x:c>
      <x:c r="G25" s="52" t="str">
        <x:v>Pendiente</x:v>
      </x:c>
      <x:c r="H25" s="52" t="str">
        <x:v>Pendiente</x:v>
      </x:c>
      <x:c r="I25" s="52" t="str">
        <x:v>Pendiente</x:v>
      </x:c>
      <x:c r="J25" s="72" t="n">
        <x:f>COUNTIF(D25:I25,"Aprobado")/6</x:f>
        <x:v>0</x:v>
      </x:c>
      <x:c r="K25" s="52" t="str">
        <x:f>IF(J25=1,"APROBADO Y VIGENTE",IF(COUNTIF(D25:I25,"En revisión")&gt;0,"EN REVISIÓN",IF(COUNTIF(D25:I25,"No aplica")=6,"REVISAR CONFIGURACIÓN","PENDIENTE")))</x:f>
        <x:v>PENDIENTE</x:v>
      </x:c>
      <x:c r="L25" s="52" t="str"/>
      <x:c r="M25" s="52" t="str"/>
      <x:c r="N25" s="52" t="str"/>
      <x:c r="O25" s="70" t="str"/>
      <x:c r="P25" s="52" t="str">
        <x:v>En proceso de revisión institucional.</x:v>
      </x:c>
    </x:row>
    <x:row r="26" ht="48" customHeight="1">
      <x:c r="A26" s="52" t="str">
        <x:v>JC-FT-19-PROV</x:v>
      </x:c>
      <x:c r="B26" s="52" t="str">
        <x:v>Formato de acta de terminación y recibo final</x:v>
      </x:c>
      <x:c r="C26" s="52" t="str">
        <x:v>Líder Jurídica y Contratación</x:v>
      </x:c>
      <x:c r="D26" s="52" t="str">
        <x:v>Pendiente</x:v>
      </x:c>
      <x:c r="E26" s="52" t="str">
        <x:v>Pendiente</x:v>
      </x:c>
      <x:c r="F26" s="52" t="str">
        <x:v>Pendiente</x:v>
      </x:c>
      <x:c r="G26" s="52" t="str">
        <x:v>Pendiente</x:v>
      </x:c>
      <x:c r="H26" s="52" t="str">
        <x:v>Pendiente</x:v>
      </x:c>
      <x:c r="I26" s="52" t="str">
        <x:v>Pendiente</x:v>
      </x:c>
      <x:c r="J26" s="72" t="n">
        <x:f>COUNTIF(D26:I26,"Aprobado")/6</x:f>
        <x:v>0</x:v>
      </x:c>
      <x:c r="K26" s="52" t="str">
        <x:f>IF(J26=1,"APROBADO Y VIGENTE",IF(COUNTIF(D26:I26,"En revisión")&gt;0,"EN REVISIÓN",IF(COUNTIF(D26:I26,"No aplica")=6,"REVISAR CONFIGURACIÓN","PENDIENTE")))</x:f>
        <x:v>PENDIENTE</x:v>
      </x:c>
      <x:c r="L26" s="52" t="str"/>
      <x:c r="M26" s="52" t="str"/>
      <x:c r="N26" s="52" t="str"/>
      <x:c r="O26" s="70" t="str"/>
      <x:c r="P26" s="52" t="str">
        <x:v>En proceso de revisión institucional.</x:v>
      </x:c>
    </x:row>
    <x:row r="27" ht="48" customHeight="1">
      <x:c r="A27" s="52" t="str">
        <x:v>JC-FT-20-PROV</x:v>
      </x:c>
      <x:c r="B27" s="52" t="str">
        <x:v>Formato de acta de liquidación bilateral</x:v>
      </x:c>
      <x:c r="C27" s="52" t="str">
        <x:v>Líder Jurídica y Contratación</x:v>
      </x:c>
      <x:c r="D27" s="52" t="str">
        <x:v>Pendiente</x:v>
      </x:c>
      <x:c r="E27" s="52" t="str">
        <x:v>Pendiente</x:v>
      </x:c>
      <x:c r="F27" s="52" t="str">
        <x:v>Pendiente</x:v>
      </x:c>
      <x:c r="G27" s="52" t="str">
        <x:v>Pendiente</x:v>
      </x:c>
      <x:c r="H27" s="52" t="str">
        <x:v>Pendiente</x:v>
      </x:c>
      <x:c r="I27" s="52" t="str">
        <x:v>Pendiente</x:v>
      </x:c>
      <x:c r="J27" s="72" t="n">
        <x:f>COUNTIF(D27:I27,"Aprobado")/6</x:f>
        <x:v>0</x:v>
      </x:c>
      <x:c r="K27" s="52" t="str">
        <x:f>IF(J27=1,"APROBADO Y VIGENTE",IF(COUNTIF(D27:I27,"En revisión")&gt;0,"EN REVISIÓN",IF(COUNTIF(D27:I27,"No aplica")=6,"REVISAR CONFIGURACIÓN","PENDIENTE")))</x:f>
        <x:v>PENDIENTE</x:v>
      </x:c>
      <x:c r="L27" s="52" t="str"/>
      <x:c r="M27" s="52" t="str"/>
      <x:c r="N27" s="52" t="str"/>
      <x:c r="O27" s="70" t="str"/>
      <x:c r="P27" s="52" t="str">
        <x:v>En proceso de revisión institucional.</x:v>
      </x:c>
    </x:row>
    <x:row r="28" ht="48" customHeight="1">
      <x:c r="A28" s="52" t="str">
        <x:v>JC-FT-21-PROV</x:v>
      </x:c>
      <x:c r="B28" s="52" t="str">
        <x:v>Lista de chequeo del expediente contractual</x:v>
      </x:c>
      <x:c r="C28" s="52" t="str">
        <x:v>Líder Jurídica y Contratación + Archivo</x:v>
      </x:c>
      <x:c r="D28" s="52" t="str">
        <x:v>Pendiente</x:v>
      </x:c>
      <x:c r="E28" s="52" t="str">
        <x:v>Pendiente</x:v>
      </x:c>
      <x:c r="F28" s="52" t="str">
        <x:v>Pendiente</x:v>
      </x:c>
      <x:c r="G28" s="52" t="str">
        <x:v>Pendiente</x:v>
      </x:c>
      <x:c r="H28" s="52" t="str">
        <x:v>Pendiente</x:v>
      </x:c>
      <x:c r="I28" s="52" t="str">
        <x:v>Pendiente</x:v>
      </x:c>
      <x:c r="J28" s="72" t="n">
        <x:f>COUNTIF(D28:I28,"Aprobado")/6</x:f>
        <x:v>0</x:v>
      </x:c>
      <x:c r="K28" s="52" t="str">
        <x:f>IF(J28=1,"APROBADO Y VIGENTE",IF(COUNTIF(D28:I28,"En revisión")&gt;0,"EN REVISIÓN",IF(COUNTIF(D28:I28,"No aplica")=6,"REVISAR CONFIGURACIÓN","PENDIENTE")))</x:f>
        <x:v>PENDIENTE</x:v>
      </x:c>
      <x:c r="L28" s="52" t="str"/>
      <x:c r="M28" s="52" t="str"/>
      <x:c r="N28" s="52" t="str"/>
      <x:c r="O28" s="70" t="str"/>
      <x:c r="P28" s="52" t="str">
        <x:v>En proceso de revisión institucional.</x:v>
      </x:c>
    </x:row>
    <x:row r="29" ht="48" customHeight="1">
      <x:c r="A29" s="52" t="str">
        <x:v>JC-FT-22-PROV</x:v>
      </x:c>
      <x:c r="B29" s="52" t="str">
        <x:v>Declaración institucional de publicación transitoria</x:v>
      </x:c>
      <x:c r="C29" s="52" t="str">
        <x:v>Líder Jurídica y Contratación</x:v>
      </x:c>
      <x:c r="D29" s="52" t="str">
        <x:v>Pendiente</x:v>
      </x:c>
      <x:c r="E29" s="52" t="str">
        <x:v>Pendiente</x:v>
      </x:c>
      <x:c r="F29" s="52" t="str">
        <x:v>Pendiente</x:v>
      </x:c>
      <x:c r="G29" s="52" t="str">
        <x:v>Pendiente</x:v>
      </x:c>
      <x:c r="H29" s="52" t="str">
        <x:v>Pendiente</x:v>
      </x:c>
      <x:c r="I29" s="52" t="str">
        <x:v>Pendiente</x:v>
      </x:c>
      <x:c r="J29" s="72" t="n">
        <x:f>COUNTIF(D29:I29,"Aprobado")/6</x:f>
        <x:v>0</x:v>
      </x:c>
      <x:c r="K29" s="52" t="str">
        <x:f>IF(J29=1,"APROBADO Y VIGENTE",IF(COUNTIF(D29:I29,"En revisión")&gt;0,"EN REVISIÓN",IF(COUNTIF(D29:I29,"No aplica")=6,"REVISAR CONFIGURACIÓN","PENDIENTE")))</x:f>
        <x:v>PENDIENTE</x:v>
      </x:c>
      <x:c r="L29" s="52" t="str"/>
      <x:c r="M29" s="52" t="str"/>
      <x:c r="N29" s="52" t="str"/>
      <x:c r="O29" s="70" t="str"/>
      <x:c r="P29" s="52" t="str">
        <x:v>En proceso de revisión institucional.</x:v>
      </x:c>
    </x:row>
  </x:sheetData>
  <x:mergeCells>
    <x:mergeCell ref="A1:P1"/>
    <x:mergeCell ref="A2:P4"/>
  </x:mergeCells>
  <x:conditionalFormatting sqref="J7:J29">
    <x:cfRule type="dataBar" priority="1">
      <x:dataBar>
        <x:cfvo type="min"/>
        <x:cfvo type="max"/>
        <x:color rgb="FFA02B93"/>
      </x:dataBar>
      <x:extLst>
        <x:ext xmlns:x14="http://schemas.microsoft.com/office/spreadsheetml/2009/9/main" uri="{B025F937-C7B1-47D3-B67F-A62EFF666E3E}">
          <x14:id>{8A17E9DD-6BCE-EA3E-347D-FB96EA4FD1D8}</x14:id>
        </x:ext>
      </x:extLst>
    </x:cfRule>
  </x:conditionalFormatting>
  <x:conditionalFormatting sqref="K7:K29">
    <x:cfRule type="expression" dxfId="4" priority="2">
      <x:formula>K7="APROBADO Y VIGENTE"</x:formula>
    </x:cfRule>
    <x:cfRule type="expression" dxfId="5" priority="3">
      <x:formula>K7="PENDIENTE"</x:formula>
    </x:cfRule>
  </x:conditionalFormatting>
  <x:dataValidations count="1">
    <x:dataValidation type="list" sqref="D7:I29">
      <x:formula1>"Pendiente,En revisión,Aprobado,No aplica,Rechazado / ajustar"</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8A17E9DD-6BCE-EA3E-347D-FB96EA4FD1D8}">
            <x14:dataBar gradient="1">
              <x14:cfvo type="min"/>
              <x14:cfvo type="max"/>
              <x14:fillColor rgb="FFA02B93"/>
            </x14:dataBar>
          </x14:cfRule>
          <xm:sqref>J7:J29</xm:sqref>
        </x14:conditionalFormatting>
      </x14:conditionalFormattings>
    </x:ext>
  </x:extLst>
</x:worksheet>
</file>

<file path=xl/worksheets/sheet5.xml><?xml version="1.0" encoding="utf-8"?>
<x:worksheet xmlns:x="http://schemas.openxmlformats.org/spreadsheetml/2006/main">
  <x:sheetFormatPr defaultRowHeight="15"/>
  <x:cols>
    <x:col min="1" max="1" width="15" hidden="0" customWidth="1"/>
    <x:col min="2" max="2" width="30" hidden="0" customWidth="1"/>
    <x:col min="3" max="3" width="31" hidden="0" customWidth="1"/>
    <x:col min="4" max="4" width="15" hidden="0" customWidth="1"/>
    <x:col min="5" max="5" width="16" hidden="0" customWidth="1"/>
    <x:col min="6" max="6" width="23" hidden="0" customWidth="1"/>
    <x:col min="7" max="7" width="58" hidden="0" customWidth="1"/>
    <x:col min="8" max="8" width="32" hidden="0" customWidth="1"/>
    <x:col min="9" max="9" width="19" hidden="0" customWidth="1"/>
    <x:col min="10" max="10" width="20" hidden="0" customWidth="1"/>
    <x:col min="11" max="11" width="21" hidden="0" customWidth="1"/>
    <x:col min="12" max="12" width="20" hidden="0" customWidth="1"/>
    <x:col min="13" max="13" width="48" hidden="0" customWidth="1"/>
  </x:cols>
  <x:sheetData>
    <x:row r="1">
      <x:c r="A1" s="6" t="str">
        <x:v>REFERENCIA DE SERIES Y SUBSERIES CONTRACTUALES DE LA TRD APORTADA</x:v>
      </x:c>
      <x:c r="B1" s="6"/>
      <x:c r="C1" s="6"/>
      <x:c r="D1" s="6"/>
      <x:c r="E1" s="6"/>
      <x:c r="F1" s="6"/>
      <x:c r="G1" s="6"/>
      <x:c r="H1" s="6"/>
      <x:c r="I1" s="6"/>
      <x:c r="J1" s="6"/>
      <x:c r="K1" s="6"/>
      <x:c r="L1" s="6"/>
      <x:c r="M1" s="6"/>
    </x:row>
    <x:row r="2">
      <x:c r="A2" s="45" t="str">
        <x:v>La tabla aportada fue emitida el 14 de julio de 2013. Esta hoja transcribe las referencias contractuales identificadas para facilitar el control temporal del paquete, pero NO actualiza ni aprueba la TRD. La estructura orgánica, denominaciones, tipos documentales, tiempos de retención y disposición final deben ser revisados conforme a la situación actual y al proceso formal de convalidación o aprobación que corresponda.</x:v>
      </x:c>
      <x:c r="B2" s="45"/>
      <x:c r="C2" s="45"/>
      <x:c r="D2" s="45"/>
      <x:c r="E2" s="45"/>
      <x:c r="F2" s="45"/>
      <x:c r="G2" s="45"/>
      <x:c r="H2" s="45"/>
      <x:c r="I2" s="45"/>
      <x:c r="J2" s="45"/>
      <x:c r="K2" s="45"/>
      <x:c r="L2" s="45"/>
      <x:c r="M2" s="45"/>
    </x:row>
    <x:row r="3">
      <x:c r="A3" s="45"/>
      <x:c r="B3" s="45"/>
      <x:c r="C3" s="45"/>
      <x:c r="D3" s="45"/>
      <x:c r="E3" s="45"/>
      <x:c r="F3" s="45"/>
      <x:c r="G3" s="45"/>
      <x:c r="H3" s="45"/>
      <x:c r="I3" s="45"/>
      <x:c r="J3" s="45"/>
      <x:c r="K3" s="45"/>
      <x:c r="L3" s="45"/>
      <x:c r="M3" s="45"/>
    </x:row>
    <x:row r="4">
      <x:c r="A4" s="45"/>
      <x:c r="B4" s="45"/>
      <x:c r="C4" s="45"/>
      <x:c r="D4" s="45"/>
      <x:c r="E4" s="45"/>
      <x:c r="F4" s="45"/>
      <x:c r="G4" s="45"/>
      <x:c r="H4" s="45"/>
      <x:c r="I4" s="45"/>
      <x:c r="J4" s="45"/>
      <x:c r="K4" s="45"/>
      <x:c r="L4" s="45"/>
      <x:c r="M4" s="45"/>
    </x:row>
    <x:row r="5">
      <x:c r="A5" s="45"/>
      <x:c r="B5" s="45"/>
      <x:c r="C5" s="45"/>
      <x:c r="D5" s="45"/>
      <x:c r="E5" s="45"/>
      <x:c r="F5" s="45"/>
      <x:c r="G5" s="45"/>
      <x:c r="H5" s="45"/>
      <x:c r="I5" s="45"/>
      <x:c r="J5" s="45"/>
      <x:c r="K5" s="45"/>
      <x:c r="L5" s="45"/>
      <x:c r="M5" s="45"/>
    </x:row>
    <x:row r="7" ht="50" customHeight="1">
      <x:c r="A7" s="25" t="str">
        <x:v>Código TRD 2013</x:v>
      </x:c>
      <x:c r="B7" s="25" t="str">
        <x:v>Serie / subserie</x:v>
      </x:c>
      <x:c r="C7" s="25" t="str">
        <x:v>Unidad productora indicada</x:v>
      </x:c>
      <x:c r="D7" s="25" t="str">
        <x:v>Archivo gestión (años)</x:v>
      </x:c>
      <x:c r="E7" s="25" t="str">
        <x:v>Archivo central (años)</x:v>
      </x:c>
      <x:c r="F7" s="25" t="str">
        <x:v>Disposición indicada</x:v>
      </x:c>
      <x:c r="G7" s="25" t="str">
        <x:v>Tipos documentales relevantes observados</x:v>
      </x:c>
      <x:c r="H7" s="25" t="str">
        <x:v>Formatos asociados del paquete</x:v>
      </x:c>
      <x:c r="I7" s="25" t="str">
        <x:v>Uso en 2026</x:v>
      </x:c>
      <x:c r="J7" s="25" t="str">
        <x:v>Validación requerida</x:v>
      </x:c>
      <x:c r="K7" s="25" t="str">
        <x:v>Código nuevo propuesto</x:v>
      </x:c>
      <x:c r="L7" s="25" t="str">
        <x:v>Estado actualización</x:v>
      </x:c>
      <x:c r="M7" s="25" t="str">
        <x:v>Observación</x:v>
      </x:c>
    </x:row>
    <x:row r="8" ht="84" customHeight="1">
      <x:c r="A8" s="52" t="str">
        <x:v>230-15-01</x:v>
      </x:c>
      <x:c r="B8" s="52" t="str">
        <x:v>Contratos de obras</x:v>
      </x:c>
      <x:c r="C8" s="52" t="str">
        <x:v>Secretaría de Planeación e Infraestructura</x:v>
      </x:c>
      <x:c r="D8" s="52" t="n">
        <x:v>3</x:v>
      </x:c>
      <x:c r="E8" s="52" t="n">
        <x:v>10</x:v>
      </x:c>
      <x:c r="F8" s="52" t="str">
        <x:v>Selección 20%</x:v>
      </x:c>
      <x:c r="G8" s="52" t="str">
        <x:v>CDP; proyecto; pliego; licitación; propuesta; adjudicación; minuta; póliza; actas parciales y finales.</x:v>
      </x:c>
      <x:c r="H8" s="52" t="str">
        <x:v>JC-FT-01, 02, 03, 05, 06, 10, 12-21</x:v>
      </x:c>
      <x:c r="I8" s="52" t="str">
        <x:v>Referencia histórica</x:v>
      </x:c>
      <x:c r="J8" s="52" t="str">
        <x:v>Sí</x:v>
      </x:c>
      <x:c r="K8" s="52" t="str"/>
      <x:c r="L8" s="52" t="str">
        <x:v>En proceso</x:v>
      </x:c>
      <x:c r="M8" s="52" t="str">
        <x:v>Confirmar unidad productora actual y relación con SECOP/expediente electrónico.</x:v>
      </x:c>
    </x:row>
    <x:row r="9" ht="84" customHeight="1">
      <x:c r="A9" s="52" t="str">
        <x:v>230-15-02</x:v>
      </x:c>
      <x:c r="B9" s="52" t="str">
        <x:v>Contratos de prestación de servicios</x:v>
      </x:c>
      <x:c r="C9" s="52" t="str">
        <x:v>Secretaría de Planeación e Infraestructura</x:v>
      </x:c>
      <x:c r="D9" s="52" t="n">
        <x:v>3</x:v>
      </x:c>
      <x:c r="E9" s="52" t="n">
        <x:v>10</x:v>
      </x:c>
      <x:c r="F9" s="52" t="str">
        <x:v>Selección 20%</x:v>
      </x:c>
      <x:c r="G9" s="52" t="str">
        <x:v>CDP; propuestas; evaluación; adjudicación; hoja de vida; antecedentes; minuta; póliza; inicio; actas; liquidación.</x:v>
      </x:c>
      <x:c r="H9" s="52" t="str">
        <x:v>JC-FT-01, 02, 03, 07, 12-21</x:v>
      </x:c>
      <x:c r="I9" s="52" t="str">
        <x:v>Referencia histórica</x:v>
      </x:c>
      <x:c r="J9" s="52" t="str">
        <x:v>Sí</x:v>
      </x:c>
      <x:c r="K9" s="52" t="str"/>
      <x:c r="L9" s="52" t="str">
        <x:v>En proceso</x:v>
      </x:c>
      <x:c r="M9" s="52" t="str">
        <x:v>Diferenciar servicios profesionales, apoyo a la gestión y otros servicios.</x:v>
      </x:c>
    </x:row>
    <x:row r="10" ht="84" customHeight="1">
      <x:c r="A10" s="52" t="str">
        <x:v>230-15-03</x:v>
      </x:c>
      <x:c r="B10" s="52" t="str">
        <x:v>Contrato / orden de trabajo</x:v>
      </x:c>
      <x:c r="C10" s="52" t="str">
        <x:v>Secretaría de Planeación e Infraestructura</x:v>
      </x:c>
      <x:c r="D10" s="52" t="n">
        <x:v>3</x:v>
      </x:c>
      <x:c r="E10" s="52" t="n">
        <x:v>10</x:v>
      </x:c>
      <x:c r="F10" s="52" t="str">
        <x:v>Selección 20%</x:v>
      </x:c>
      <x:c r="G10" s="52" t="str">
        <x:v>CDP; invitación; inscripción; entrega y apertura de propuesta; evaluación; adjudicación; aceptación; minuta; inicio; póliza; actas.</x:v>
      </x:c>
      <x:c r="H10" s="52" t="str">
        <x:v>JC-FT-04, 06, 12-21</x:v>
      </x:c>
      <x:c r="I10" s="52" t="str">
        <x:v>Referencia histórica</x:v>
      </x:c>
      <x:c r="J10" s="52" t="str">
        <x:v>Sí</x:v>
      </x:c>
      <x:c r="K10" s="52" t="str"/>
      <x:c r="L10" s="52" t="str">
        <x:v>En proceso</x:v>
      </x:c>
      <x:c r="M10" s="52" t="str">
        <x:v>Revisar denominación vigente y modalidad de selección.</x:v>
      </x:c>
    </x:row>
    <x:row r="11" ht="84" customHeight="1">
      <x:c r="A11" s="52" t="str">
        <x:v>230-15-04</x:v>
      </x:c>
      <x:c r="B11" s="52" t="str">
        <x:v>Contratos de suministro</x:v>
      </x:c>
      <x:c r="C11" s="52" t="str">
        <x:v>Secretaría de Planeación e Infraestructura</x:v>
      </x:c>
      <x:c r="D11" s="52" t="n">
        <x:v>3</x:v>
      </x:c>
      <x:c r="E11" s="52" t="n">
        <x:v>10</x:v>
      </x:c>
      <x:c r="F11" s="52" t="str">
        <x:v>Selección 20%</x:v>
      </x:c>
      <x:c r="G11" s="52" t="str">
        <x:v>Documentos precontractuales; selección; minuta; póliza; actas; recibo; pago; liquidación; registros de almacén.</x:v>
      </x:c>
      <x:c r="H11" s="52" t="str">
        <x:v>JC-FT-01, 02, 03, 04, 06, 09, 12-21</x:v>
      </x:c>
      <x:c r="I11" s="52" t="str">
        <x:v>Referencia histórica</x:v>
      </x:c>
      <x:c r="J11" s="52" t="str">
        <x:v>Sí</x:v>
      </x:c>
      <x:c r="K11" s="52" t="str"/>
      <x:c r="L11" s="52" t="str">
        <x:v>En proceso</x:v>
      </x:c>
      <x:c r="M11" s="52" t="str">
        <x:v>Articular con inventarios, almacén y entrada de bienes.</x:v>
      </x:c>
    </x:row>
    <x:row r="12" ht="84" customHeight="1">
      <x:c r="A12" s="52" t="str">
        <x:v>230-15-05</x:v>
      </x:c>
      <x:c r="B12" s="52" t="str">
        <x:v>Contratos de apoyo a la gestión</x:v>
      </x:c>
      <x:c r="C12" s="52" t="str">
        <x:v>Secretaría de Planeación e Infraestructura</x:v>
      </x:c>
      <x:c r="D12" s="52" t="n">
        <x:v>3</x:v>
      </x:c>
      <x:c r="E12" s="52" t="n">
        <x:v>10</x:v>
      </x:c>
      <x:c r="F12" s="52" t="str">
        <x:v>Selección 20%</x:v>
      </x:c>
      <x:c r="G12" s="52" t="str">
        <x:v>CDP; invitación; propuestas; evaluación; adjudicación/aceptación; minuta; inicio; póliza; actas y cierre.</x:v>
      </x:c>
      <x:c r="H12" s="52" t="str">
        <x:v>JC-FT-08, 12-21</x:v>
      </x:c>
      <x:c r="I12" s="52" t="str">
        <x:v>Referencia histórica</x:v>
      </x:c>
      <x:c r="J12" s="52" t="str">
        <x:v>Sí</x:v>
      </x:c>
      <x:c r="K12" s="52" t="str"/>
      <x:c r="L12" s="52" t="str">
        <x:v>En proceso</x:v>
      </x:c>
      <x:c r="M12" s="52" t="str">
        <x:v>El ejemplo aportado de informe de supervisión usa este código.</x:v>
      </x:c>
    </x:row>
    <x:row r="13" ht="84" customHeight="1">
      <x:c r="A13" s="52" t="str">
        <x:v>230-15-06</x:v>
      </x:c>
      <x:c r="B13" s="52" t="str">
        <x:v>Contratos de consultoría</x:v>
      </x:c>
      <x:c r="C13" s="52" t="str">
        <x:v>Secretaría de Planeación e Infraestructura</x:v>
      </x:c>
      <x:c r="D13" s="52" t="n">
        <x:v>3</x:v>
      </x:c>
      <x:c r="E13" s="52" t="n">
        <x:v>10</x:v>
      </x:c>
      <x:c r="F13" s="52" t="str">
        <x:v>Selección 20%</x:v>
      </x:c>
      <x:c r="G13" s="52" t="str">
        <x:v>Documentación de selección; equipo; propuesta; evaluación; minuta; garantías; productos; informes; liquidación.</x:v>
      </x:c>
      <x:c r="H13" s="52" t="str">
        <x:v>JC-FT-01, 02, 03, 06, 11, 12-21</x:v>
      </x:c>
      <x:c r="I13" s="52" t="str">
        <x:v>Referencia histórica</x:v>
      </x:c>
      <x:c r="J13" s="52" t="str">
        <x:v>Sí</x:v>
      </x:c>
      <x:c r="K13" s="52" t="str"/>
      <x:c r="L13" s="52" t="str">
        <x:v>En proceso</x:v>
      </x:c>
      <x:c r="M13" s="52" t="str">
        <x:v>Articular con concurso de méritos e interventoría según el objeto.</x:v>
      </x:c>
    </x:row>
    <x:row r="14" ht="84" customHeight="1">
      <x:c r="A14" s="52" t="str">
        <x:v>230-15-07</x:v>
      </x:c>
      <x:c r="B14" s="52" t="str">
        <x:v>Contratos de interés público</x:v>
      </x:c>
      <x:c r="C14" s="52" t="str">
        <x:v>Secretaría de Planeación e Infraestructura</x:v>
      </x:c>
      <x:c r="D14" s="52" t="n">
        <x:v>3</x:v>
      </x:c>
      <x:c r="E14" s="52" t="n">
        <x:v>10</x:v>
      </x:c>
      <x:c r="F14" s="52" t="str">
        <x:v>Selección 20%</x:v>
      </x:c>
      <x:c r="G14" s="52" t="str">
        <x:v>CDP; invitación; propuestas; evaluación; adjudicación/aceptación; minuta; actas; liquidación y entrega.</x:v>
      </x:c>
      <x:c r="H14" s="52" t="str">
        <x:v>JC-FT-01, 02, 03, 06, 12-21</x:v>
      </x:c>
      <x:c r="I14" s="52" t="str">
        <x:v>Referencia histórica</x:v>
      </x:c>
      <x:c r="J14" s="52" t="str">
        <x:v>Sí</x:v>
      </x:c>
      <x:c r="K14" s="52" t="str"/>
      <x:c r="L14" s="52" t="str">
        <x:v>En proceso</x:v>
      </x:c>
      <x:c r="M14" s="52" t="str">
        <x:v>Revisar régimen especial aplicable y denominación documental vigente.</x:v>
      </x:c>
    </x:row>
    <x:row r="15" ht="84" customHeight="1">
      <x:c r="A15" s="52" t="str">
        <x:v>230-37-01</x:v>
      </x:c>
      <x:c r="B15" s="52" t="str">
        <x:v>Convenios interadministrativos</x:v>
      </x:c>
      <x:c r="C15" s="52" t="str">
        <x:v>Secretaría de Planeación e Infraestructura</x:v>
      </x:c>
      <x:c r="D15" s="52" t="n">
        <x:v>3</x:v>
      </x:c>
      <x:c r="E15" s="52" t="n">
        <x:v>10</x:v>
      </x:c>
      <x:c r="F15" s="52" t="str">
        <x:v>Selección cronológica últimos 3 años</x:v>
      </x:c>
      <x:c r="G15" s="52" t="str">
        <x:v>Documentación legal de las partes; estudios; convenio; ejecución; informes; liquidación.</x:v>
      </x:c>
      <x:c r="H15" s="52" t="str">
        <x:v>JC-FT-21 y documentos adaptados</x:v>
      </x:c>
      <x:c r="I15" s="52" t="str">
        <x:v>Referencia histórica</x:v>
      </x:c>
      <x:c r="J15" s="52" t="str">
        <x:v>Sí</x:v>
      </x:c>
      <x:c r="K15" s="52" t="str"/>
      <x:c r="L15" s="52" t="str">
        <x:v>En proceso</x:v>
      </x:c>
      <x:c r="M15" s="52" t="str">
        <x:v>Crear modelos específicos solo después de revisión jurídica.</x:v>
      </x:c>
    </x:row>
    <x:row r="16" ht="84" customHeight="1">
      <x:c r="A16" s="52" t="str">
        <x:v>230-52</x:v>
      </x:c>
      <x:c r="B16" s="52" t="str">
        <x:v>Interventoría de obra</x:v>
      </x:c>
      <x:c r="C16" s="52" t="str">
        <x:v>Secretaría de Planeación e Infraestructura</x:v>
      </x:c>
      <x:c r="D16" s="52" t="n">
        <x:v>3</x:v>
      </x:c>
      <x:c r="E16" s="52" t="n">
        <x:v>3</x:v>
      </x:c>
      <x:c r="F16" s="52" t="str">
        <x:v>Según tabla aportada</x:v>
      </x:c>
      <x:c r="G16" s="52" t="str">
        <x:v>Informes, actas, controles técnicos, administrativos, financieros y de cierre.</x:v>
      </x:c>
      <x:c r="H16" s="52" t="str">
        <x:v>JC-FT-11, 17, 19, 20, 21</x:v>
      </x:c>
      <x:c r="I16" s="52" t="str">
        <x:v>Referencia histórica</x:v>
      </x:c>
      <x:c r="J16" s="52" t="str">
        <x:v>Sí</x:v>
      </x:c>
      <x:c r="K16" s="52" t="str"/>
      <x:c r="L16" s="52" t="str">
        <x:v>En proceso</x:v>
      </x:c>
      <x:c r="M16" s="52" t="str">
        <x:v>Revisar si corresponde a serie, subserie o tipo documental y su disposición.</x:v>
      </x:c>
    </x:row>
  </x:sheetData>
  <x:mergeCells>
    <x:mergeCell ref="A1:M1"/>
    <x:mergeCell ref="A2:M5"/>
  </x:mergeCells>
  <x:conditionalFormatting sqref="L8:L16">
    <x:cfRule type="expression" dxfId="6" priority="1">
      <x:formula>L8="En proceso"</x:formula>
    </x:cfRule>
  </x:conditionalFormatting>
  <x:dataValidations count="1">
    <x:dataValidation type="list" sqref="L8:L16">
      <x:formula1>"Pendiente,En proceso,Revisada,Aprobada / convalidada,No aplica"</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9" hidden="0" customWidth="1"/>
    <x:col min="3" max="3" width="46" hidden="0" customWidth="1"/>
    <x:col min="4" max="4" width="42" hidden="0" customWidth="1"/>
    <x:col min="5" max="5" width="42" hidden="0" customWidth="1"/>
    <x:col min="6" max="6" width="13" hidden="0" customWidth="1"/>
    <x:col min="7" max="7" width="11" hidden="0" customWidth="1"/>
    <x:col min="8" max="8" width="13" hidden="0" customWidth="1"/>
    <x:col min="9" max="9" width="15" hidden="0" customWidth="1"/>
    <x:col min="10" max="10" width="48" hidden="0" customWidth="1"/>
    <x:col min="11" max="11" width="25" hidden="0" customWidth="1"/>
    <x:col min="12" max="12" width="34" hidden="0" customWidth="1"/>
    <x:col min="13" max="13" width="13" hidden="0" customWidth="1"/>
    <x:col min="14" max="14" width="13" hidden="0" customWidth="1"/>
    <x:col min="15" max="15" width="11" hidden="0" customWidth="1"/>
    <x:col min="16" max="16" width="13" hidden="0" customWidth="1"/>
    <x:col min="17" max="17" width="17" hidden="0" customWidth="1"/>
    <x:col min="18" max="18" width="48" hidden="0" customWidth="1"/>
    <x:col min="19" max="19" width="28" hidden="0" customWidth="1"/>
    <x:col min="20" max="20" width="15" hidden="0" customWidth="1"/>
    <x:col min="21" max="21" width="18" hidden="0" customWidth="1"/>
    <x:col min="22" max="22" width="18" hidden="0" customWidth="1"/>
    <x:col min="23" max="23" width="14" hidden="0" customWidth="1"/>
  </x:cols>
  <x:sheetData>
    <x:row r="1">
      <x:c r="A1" s="6" t="str">
        <x:v>MATRIZ DE RIESGOS DEL PAQUETE, PUBLICACIÓN Y APLICATIVO DOCUMENTAL</x:v>
      </x:c>
      <x:c r="B1" s="6"/>
      <x:c r="C1" s="6"/>
      <x:c r="D1" s="6"/>
      <x:c r="E1" s="6"/>
      <x:c r="F1" s="6"/>
      <x:c r="G1" s="6"/>
      <x:c r="H1" s="6"/>
      <x:c r="I1" s="6"/>
      <x:c r="J1" s="6"/>
      <x:c r="K1" s="6"/>
      <x:c r="L1" s="6"/>
      <x:c r="M1" s="6"/>
      <x:c r="N1" s="6"/>
      <x:c r="O1" s="6"/>
      <x:c r="P1" s="6"/>
      <x:c r="Q1" s="6"/>
      <x:c r="R1" s="6"/>
      <x:c r="S1" s="6"/>
      <x:c r="T1" s="6"/>
      <x:c r="U1" s="6"/>
      <x:c r="V1" s="6"/>
      <x:c r="W1" s="6"/>
    </x:row>
    <x:row r="3" ht="52" customHeight="1">
      <x:c r="A3" s="25" t="str">
        <x:v>ID</x:v>
      </x:c>
      <x:c r="B3" s="25" t="str">
        <x:v>Proceso / fase</x:v>
      </x:c>
      <x:c r="C3" s="25" t="str">
        <x:v>Riesgo</x:v>
      </x:c>
      <x:c r="D3" s="25" t="str">
        <x:v>Causa principal</x:v>
      </x:c>
      <x:c r="E3" s="25" t="str">
        <x:v>Consecuencia</x:v>
      </x:c>
      <x:c r="F3" s="25" t="str">
        <x:v>Probabilidad inicial</x:v>
      </x:c>
      <x:c r="G3" s="25" t="str">
        <x:v>Impacto inicial</x:v>
      </x:c>
      <x:c r="H3" s="25" t="str">
        <x:v>Nivel inherente</x:v>
      </x:c>
      <x:c r="I3" s="25" t="str">
        <x:v>Clasificación</x:v>
      </x:c>
      <x:c r="J3" s="25" t="str">
        <x:v>Control preventivo / detectivo</x:v>
      </x:c>
      <x:c r="K3" s="25" t="str">
        <x:v>Responsable</x:v>
      </x:c>
      <x:c r="L3" s="25" t="str">
        <x:v>Evidencia del control</x:v>
      </x:c>
      <x:c r="M3" s="25" t="str">
        <x:v>Eficacia control</x:v>
      </x:c>
      <x:c r="N3" s="25" t="str">
        <x:v>Probabilidad residual</x:v>
      </x:c>
      <x:c r="O3" s="25" t="str">
        <x:v>Impacto residual</x:v>
      </x:c>
      <x:c r="P3" s="25" t="str">
        <x:v>Nivel residual</x:v>
      </x:c>
      <x:c r="Q3" s="25" t="str">
        <x:v>Clasificación residual</x:v>
      </x:c>
      <x:c r="R3" s="25" t="str">
        <x:v>Tratamiento / acción</x:v>
      </x:c>
      <x:c r="S3" s="25" t="str">
        <x:v>Indicador</x:v>
      </x:c>
      <x:c r="T3" s="25" t="str">
        <x:v>Meta</x:v>
      </x:c>
      <x:c r="U3" s="25" t="str">
        <x:v>Periodicidad</x:v>
      </x:c>
      <x:c r="V3" s="25" t="str">
        <x:v>Estado</x:v>
      </x:c>
      <x:c r="W3" s="25" t="str">
        <x:v>Fecha revisión</x:v>
      </x:c>
    </x:row>
    <x:row r="4" ht="82" customHeight="1">
      <x:c r="A4" s="52" t="str">
        <x:v>R-01</x:v>
      </x:c>
      <x:c r="B4" s="52" t="str">
        <x:v>Planeación</x:v>
      </x:c>
      <x:c r="C4" s="52" t="str">
        <x:v>Usar un modelo interno cuando es obligatorio un Documento Tipo CCE</x:v>
      </x:c>
      <x:c r="D4" s="52" t="str">
        <x:v>No efectuar la ficha de aplicabilidad o consultar una versión desactualizada.</x:v>
      </x:c>
      <x:c r="E4" s="52" t="str">
        <x:v>Ineficacia del proceso, observaciones, nulidad o responsabilidad.</x:v>
      </x:c>
      <x:c r="F4" s="52" t="n">
        <x:v>4</x:v>
      </x:c>
      <x:c r="G4" s="52" t="n">
        <x:v>5</x:v>
      </x:c>
      <x:c r="H4" s="52" t="n">
        <x:f>F4*G4</x:f>
        <x:v>20</x:v>
      </x:c>
      <x:c r="I4" s="52" t="str">
        <x:f>IF(H4&gt;=20,"EXTREMO",IF(H4&gt;=12,"ALTO",IF(H4&gt;=6,"MODERADO","BAJO")))</x:f>
        <x:v>EXTREMO</x:v>
      </x:c>
      <x:c r="J4" s="52" t="str">
        <x:v>Ficha JC-FT-03 y revisión jurídica previa</x:v>
      </x:c>
      <x:c r="K4" s="52" t="str">
        <x:v>Estructurador / Jurídica</x:v>
      </x:c>
      <x:c r="L4" s="52" t="str">
        <x:v>Ficha, URL, resolución y fecha consultada</x:v>
      </x:c>
      <x:c r="M4" s="52" t="str">
        <x:v>Media</x:v>
      </x:c>
      <x:c r="N4" s="52" t="n">
        <x:v>2</x:v>
      </x:c>
      <x:c r="O4" s="52" t="n">
        <x:v>5</x:v>
      </x:c>
      <x:c r="P4" s="52" t="n">
        <x:f>N4*O4</x:f>
        <x:v>10</x:v>
      </x:c>
      <x:c r="Q4" s="52" t="str">
        <x:f>IF(P4&gt;=20,"EXTREMO",IF(P4&gt;=12,"ALTO",IF(P4&gt;=6,"MODERADO","BAJO")))</x:f>
        <x:v>MODERADO</x:v>
      </x:c>
      <x:c r="R4" s="52" t="str">
        <x:v>Evitar: bloqueo del proceso hasta completar verificación</x:v>
      </x:c>
      <x:c r="S4" s="52" t="str">
        <x:v>% procesos con ficha</x:v>
      </x:c>
      <x:c r="T4" s="52" t="str">
        <x:v>100%</x:v>
      </x:c>
      <x:c r="U4" s="52" t="str">
        <x:v>Por proceso</x:v>
      </x:c>
      <x:c r="V4" s="52" t="str">
        <x:v>Abierto</x:v>
      </x:c>
      <x:c r="W4" s="70" t="n">
        <x:v>46234</x:v>
      </x:c>
    </x:row>
    <x:row r="5" ht="82" customHeight="1">
      <x:c r="A5" s="52" t="str">
        <x:v>R-02</x:v>
      </x:c>
      <x:c r="B5" s="52" t="str">
        <x:v>Publicación ITA</x:v>
      </x:c>
      <x:c r="C5" s="52" t="str">
        <x:v>Publicar los borradores como si fueran formatos definitivos aprobados</x:v>
      </x:c>
      <x:c r="D5" s="52" t="str">
        <x:v>Ausencia de advertencia o control de versión.</x:v>
      </x:c>
      <x:c r="E5" s="52" t="str">
        <x:v>Información engañosa, uso no autorizado y pérdida de confianza.</x:v>
      </x:c>
      <x:c r="F5" s="52" t="n">
        <x:v>4</x:v>
      </x:c>
      <x:c r="G5" s="52" t="n">
        <x:v>4</x:v>
      </x:c>
      <x:c r="H5" s="52" t="n">
        <x:f>F5*G5</x:f>
        <x:v>16</x:v>
      </x:c>
      <x:c r="I5" s="52" t="str">
        <x:f>IF(H5&gt;=20,"EXTREMO",IF(H5&gt;=12,"ALTO",IF(H5&gt;=6,"MODERADO","BAJO")))</x:f>
        <x:v>ALTO</x:v>
      </x:c>
      <x:c r="J5" s="52" t="str">
        <x:v>Declaración transitoria, banner visible y matriz de estado</x:v>
      </x:c>
      <x:c r="K5" s="52" t="str">
        <x:v>Calidad / Jurídica / TIC</x:v>
      </x:c>
      <x:c r="L5" s="52" t="str">
        <x:v>Captura de publicación y listado de archivos</x:v>
      </x:c>
      <x:c r="M5" s="52" t="str">
        <x:v>Alta</x:v>
      </x:c>
      <x:c r="N5" s="52" t="n">
        <x:v>2</x:v>
      </x:c>
      <x:c r="O5" s="52" t="n">
        <x:v>3</x:v>
      </x:c>
      <x:c r="P5" s="52" t="n">
        <x:f>N5*O5</x:f>
        <x:v>6</x:v>
      </x:c>
      <x:c r="Q5" s="52" t="str">
        <x:f>IF(P5&gt;=20,"EXTREMO",IF(P5&gt;=12,"ALTO",IF(P5&gt;=6,"MODERADO","BAJO")))</x:f>
        <x:v>MODERADO</x:v>
      </x:c>
      <x:c r="R5" s="52" t="str">
        <x:v>Mitigar: mantener advertencia en página y documentos</x:v>
      </x:c>
      <x:c r="S5" s="52" t="str">
        <x:v>% archivos con advertencia</x:v>
      </x:c>
      <x:c r="T5" s="52" t="str">
        <x:v>100%</x:v>
      </x:c>
      <x:c r="U5" s="52" t="str">
        <x:v>Trimestral</x:v>
      </x:c>
      <x:c r="V5" s="52" t="str">
        <x:v>En tratamiento</x:v>
      </x:c>
      <x:c r="W5" s="70" t="n">
        <x:v>46234</x:v>
      </x:c>
    </x:row>
    <x:row r="6" ht="82" customHeight="1">
      <x:c r="A6" s="52" t="str">
        <x:v>R-03</x:v>
      </x:c>
      <x:c r="B6" s="52" t="str">
        <x:v>Gestión documental</x:v>
      </x:c>
      <x:c r="C6" s="52" t="str">
        <x:v>Asignar códigos TRD incorrectos o desactualizados</x:v>
      </x:c>
      <x:c r="D6" s="52" t="str">
        <x:v>TRD de 2013 en proceso de actualización.</x:v>
      </x:c>
      <x:c r="E6" s="52" t="str">
        <x:v>Expedientes mal clasificados, transferencias incorrectas y pérdida de trazabilidad.</x:v>
      </x:c>
      <x:c r="F6" s="52" t="n">
        <x:v>5</x:v>
      </x:c>
      <x:c r="G6" s="52" t="n">
        <x:v>4</x:v>
      </x:c>
      <x:c r="H6" s="52" t="n">
        <x:f>F6*G6</x:f>
        <x:v>20</x:v>
      </x:c>
      <x:c r="I6" s="52" t="str">
        <x:f>IF(H6&gt;=20,"EXTREMO",IF(H6&gt;=12,"ALTO",IF(H6&gt;=6,"MODERADO","BAJO")))</x:f>
        <x:v>EXTREMO</x:v>
      </x:c>
      <x:c r="J6" s="52" t="str">
        <x:v>Usar códigos como referencia provisional y validar con Archivo</x:v>
      </x:c>
      <x:c r="K6" s="52" t="str">
        <x:v>Archivo / Calidad</x:v>
      </x:c>
      <x:c r="L6" s="52" t="str">
        <x:v>Matriz TRD contractual y actas de revisión</x:v>
      </x:c>
      <x:c r="M6" s="52" t="str">
        <x:v>Media</x:v>
      </x:c>
      <x:c r="N6" s="52" t="n">
        <x:v>3</x:v>
      </x:c>
      <x:c r="O6" s="52" t="n">
        <x:v>4</x:v>
      </x:c>
      <x:c r="P6" s="52" t="n">
        <x:f>N6*O6</x:f>
        <x:v>12</x:v>
      </x:c>
      <x:c r="Q6" s="52" t="str">
        <x:f>IF(P6&gt;=20,"EXTREMO",IF(P6&gt;=12,"ALTO",IF(P6&gt;=6,"MODERADO","BAJO")))</x:f>
        <x:v>ALTO</x:v>
      </x:c>
      <x:c r="R6" s="52" t="str">
        <x:v>Mitigar: actualización TRD y tabla de equivalencias</x:v>
      </x:c>
      <x:c r="S6" s="52" t="str">
        <x:v>% subseries validadas</x:v>
      </x:c>
      <x:c r="T6" s="52" t="str">
        <x:v>100%</x:v>
      </x:c>
      <x:c r="U6" s="52" t="str">
        <x:v>Mensual</x:v>
      </x:c>
      <x:c r="V6" s="52" t="str">
        <x:v>Abierto</x:v>
      </x:c>
      <x:c r="W6" s="70" t="n">
        <x:v>46234</x:v>
      </x:c>
    </x:row>
    <x:row r="7" ht="82" customHeight="1">
      <x:c r="A7" s="52" t="str">
        <x:v>R-04</x:v>
      </x:c>
      <x:c r="B7" s="52" t="str">
        <x:v>Publicación</x:v>
      </x:c>
      <x:c r="C7" s="52" t="str">
        <x:v>Exponer datos personales, firmas, documentos de identidad o cuentas bancarias</x:v>
      </x:c>
      <x:c r="D7" s="52" t="str">
        <x:v>Publicación de ejemplos diligenciados o falta de anonimización.</x:v>
      </x:c>
      <x:c r="E7" s="52" t="str">
        <x:v>Incidente de privacidad, quejas y sanciones.</x:v>
      </x:c>
      <x:c r="F7" s="52" t="n">
        <x:v>4</x:v>
      </x:c>
      <x:c r="G7" s="52" t="n">
        <x:v>5</x:v>
      </x:c>
      <x:c r="H7" s="52" t="n">
        <x:f>F7*G7</x:f>
        <x:v>20</x:v>
      </x:c>
      <x:c r="I7" s="52" t="str">
        <x:f>IF(H7&gt;=20,"EXTREMO",IF(H7&gt;=12,"ALTO",IF(H7&gt;=6,"MODERADO","BAJO")))</x:f>
        <x:v>EXTREMO</x:v>
      </x:c>
      <x:c r="J7" s="52" t="str">
        <x:v>Publicar exclusivamente modelos vacíos y revisión de protección de datos</x:v>
      </x:c>
      <x:c r="K7" s="52" t="str">
        <x:v>TIC / Jurídica</x:v>
      </x:c>
      <x:c r="L7" s="52" t="str">
        <x:v>Lista de chequeo de publicación</x:v>
      </x:c>
      <x:c r="M7" s="52" t="str">
        <x:v>Alta</x:v>
      </x:c>
      <x:c r="N7" s="52" t="n">
        <x:v>1</x:v>
      </x:c>
      <x:c r="O7" s="52" t="n">
        <x:v>5</x:v>
      </x:c>
      <x:c r="P7" s="52" t="n">
        <x:f>N7*O7</x:f>
        <x:v>5</x:v>
      </x:c>
      <x:c r="Q7" s="52" t="str">
        <x:f>IF(P7&gt;=20,"EXTREMO",IF(P7&gt;=12,"ALTO",IF(P7&gt;=6,"MODERADO","BAJO")))</x:f>
        <x:v>BAJO</x:v>
      </x:c>
      <x:c r="R7" s="52" t="str">
        <x:v>Evitar: revisión previa y eliminación de metadatos/datos personales</x:v>
      </x:c>
      <x:c r="S7" s="52" t="str">
        <x:v>Incidentes de datos</x:v>
      </x:c>
      <x:c r="T7" s="52" t="str">
        <x:v>0</x:v>
      </x:c>
      <x:c r="U7" s="52" t="str">
        <x:v>Por publicación</x:v>
      </x:c>
      <x:c r="V7" s="52" t="str">
        <x:v>En tratamiento</x:v>
      </x:c>
      <x:c r="W7" s="70" t="n">
        <x:v>46234</x:v>
      </x:c>
    </x:row>
    <x:row r="8" ht="82" customHeight="1">
      <x:c r="A8" s="52" t="str">
        <x:v>R-05</x:v>
      </x:c>
      <x:c r="B8" s="52" t="str">
        <x:v>Control documental</x:v>
      </x:c>
      <x:c r="C8" s="52" t="str">
        <x:v>Mantener versiones duplicadas, sin fecha o sin responsable</x:v>
      </x:c>
      <x:c r="D8" s="52" t="str">
        <x:v>Falta de repositorio único y flujo de aprobación.</x:v>
      </x:c>
      <x:c r="E8" s="52" t="str">
        <x:v>Uso de formatos obsoletos y decisiones inconsistentes.</x:v>
      </x:c>
      <x:c r="F8" s="52" t="n">
        <x:v>4</x:v>
      </x:c>
      <x:c r="G8" s="52" t="n">
        <x:v>4</x:v>
      </x:c>
      <x:c r="H8" s="52" t="n">
        <x:f>F8*G8</x:f>
        <x:v>16</x:v>
      </x:c>
      <x:c r="I8" s="52" t="str">
        <x:f>IF(H8&gt;=20,"EXTREMO",IF(H8&gt;=12,"ALTO",IF(H8&gt;=6,"MODERADO","BAJO")))</x:f>
        <x:v>ALTO</x:v>
      </x:c>
      <x:c r="J8" s="52" t="str">
        <x:v>Catálogo maestro, código, versión, estado y ruta única</x:v>
      </x:c>
      <x:c r="K8" s="52" t="str">
        <x:v>Calidad</x:v>
      </x:c>
      <x:c r="L8" s="52" t="str">
        <x:v>Matriz maestra y registro de cambios</x:v>
      </x:c>
      <x:c r="M8" s="52" t="str">
        <x:v>Media</x:v>
      </x:c>
      <x:c r="N8" s="52" t="n">
        <x:v>2</x:v>
      </x:c>
      <x:c r="O8" s="52" t="n">
        <x:v>3</x:v>
      </x:c>
      <x:c r="P8" s="52" t="n">
        <x:f>N8*O8</x:f>
        <x:v>6</x:v>
      </x:c>
      <x:c r="Q8" s="52" t="str">
        <x:f>IF(P8&gt;=20,"EXTREMO",IF(P8&gt;=12,"ALTO",IF(P8&gt;=6,"MODERADO","BAJO")))</x:f>
        <x:v>MODERADO</x:v>
      </x:c>
      <x:c r="R8" s="52" t="str">
        <x:v>Mitigar: repositorio central y aplicativo con control de versiones</x:v>
      </x:c>
      <x:c r="S8" s="52" t="str">
        <x:v>% documentos con metadatos completos</x:v>
      </x:c>
      <x:c r="T8" s="52" t="str">
        <x:v>100%</x:v>
      </x:c>
      <x:c r="U8" s="52" t="str">
        <x:v>Mensual</x:v>
      </x:c>
      <x:c r="V8" s="52" t="str">
        <x:v>Abierto</x:v>
      </x:c>
      <x:c r="W8" s="70" t="n">
        <x:v>46234</x:v>
      </x:c>
    </x:row>
    <x:row r="9" ht="82" customHeight="1">
      <x:c r="A9" s="52" t="str">
        <x:v>R-06</x:v>
      </x:c>
      <x:c r="B9" s="52" t="str">
        <x:v>Ejecución contractual</x:v>
      </x:c>
      <x:c r="C9" s="52" t="str">
        <x:v>Certificar pagos sin soportes suficientes o sin validación de seguridad social</x:v>
      </x:c>
      <x:c r="D9" s="52" t="str">
        <x:v>Formato incompleto o uso mecánico del informe.</x:v>
      </x:c>
      <x:c r="E9" s="52" t="str">
        <x:v>Pago improcedente, hallazgos fiscales o disciplinarios.</x:v>
      </x:c>
      <x:c r="F9" s="52" t="n">
        <x:v>3</x:v>
      </x:c>
      <x:c r="G9" s="52" t="n">
        <x:v>5</x:v>
      </x:c>
      <x:c r="H9" s="52" t="n">
        <x:f>F9*G9</x:f>
        <x:v>15</x:v>
      </x:c>
      <x:c r="I9" s="52" t="str">
        <x:f>IF(H9&gt;=20,"EXTREMO",IF(H9&gt;=12,"ALTO",IF(H9&gt;=6,"MODERADO","BAJO")))</x:f>
        <x:v>ALTO</x:v>
      </x:c>
      <x:c r="J9" s="52" t="str">
        <x:v>Informe de supervisión y certificación de pago con controles mínimos</x:v>
      </x:c>
      <x:c r="K9" s="52" t="str">
        <x:v>Supervisor / Financiera</x:v>
      </x:c>
      <x:c r="L9" s="52" t="str">
        <x:v>Informe, planilla, factura y certificación</x:v>
      </x:c>
      <x:c r="M9" s="52" t="str">
        <x:v>Alta</x:v>
      </x:c>
      <x:c r="N9" s="52" t="n">
        <x:v>1</x:v>
      </x:c>
      <x:c r="O9" s="52" t="n">
        <x:v>5</x:v>
      </x:c>
      <x:c r="P9" s="52" t="n">
        <x:f>N9*O9</x:f>
        <x:v>5</x:v>
      </x:c>
      <x:c r="Q9" s="52" t="str">
        <x:f>IF(P9&gt;=20,"EXTREMO",IF(P9&gt;=12,"ALTO",IF(P9&gt;=6,"MODERADO","BAJO")))</x:f>
        <x:v>BAJO</x:v>
      </x:c>
      <x:c r="R9" s="52" t="str">
        <x:v>Mitigar: lista de requisitos y segregación de funciones</x:v>
      </x:c>
      <x:c r="S9" s="52" t="str">
        <x:v>% pagos con expediente completo</x:v>
      </x:c>
      <x:c r="T9" s="52" t="str">
        <x:v>100%</x:v>
      </x:c>
      <x:c r="U9" s="52" t="str">
        <x:v>Mensual</x:v>
      </x:c>
      <x:c r="V9" s="52" t="str">
        <x:v>En tratamiento</x:v>
      </x:c>
      <x:c r="W9" s="70" t="n">
        <x:v>46234</x:v>
      </x:c>
    </x:row>
    <x:row r="10" ht="82" customHeight="1">
      <x:c r="A10" s="52" t="str">
        <x:v>R-07</x:v>
      </x:c>
      <x:c r="B10" s="52" t="str">
        <x:v>Accesibilidad</x:v>
      </x:c>
      <x:c r="C10" s="52" t="str">
        <x:v>Publicar documentos no legibles, sin estructura o difíciles de diligenciar</x:v>
      </x:c>
      <x:c r="D10" s="52" t="str">
        <x:v>Diseño deficiente, tablas partidas o PDF escaneado.</x:v>
      </x:c>
      <x:c r="E10" s="52" t="str">
        <x:v>Barrera de acceso, incumplimiento de transparencia y reprocesos.</x:v>
      </x:c>
      <x:c r="F10" s="52" t="n">
        <x:v>3</x:v>
      </x:c>
      <x:c r="G10" s="52" t="n">
        <x:v>4</x:v>
      </x:c>
      <x:c r="H10" s="52" t="n">
        <x:f>F10*G10</x:f>
        <x:v>12</x:v>
      </x:c>
      <x:c r="I10" s="52" t="str">
        <x:f>IF(H10&gt;=20,"EXTREMO",IF(H10&gt;=12,"ALTO",IF(H10&gt;=6,"MODERADO","BAJO")))</x:f>
        <x:v>ALTO</x:v>
      </x:c>
      <x:c r="J10" s="52" t="str">
        <x:v>DOCX editables, estilos, encabezados, tablas claras y QA de renderizado</x:v>
      </x:c>
      <x:c r="K10" s="52" t="str">
        <x:v>Calidad / TIC</x:v>
      </x:c>
      <x:c r="L10" s="52" t="str">
        <x:v>Auditoría visual y accesibilidad</x:v>
      </x:c>
      <x:c r="M10" s="52" t="str">
        <x:v>Media</x:v>
      </x:c>
      <x:c r="N10" s="52" t="n">
        <x:v>1</x:v>
      </x:c>
      <x:c r="O10" s="52" t="n">
        <x:v>3</x:v>
      </x:c>
      <x:c r="P10" s="52" t="n">
        <x:f>N10*O10</x:f>
        <x:v>3</x:v>
      </x:c>
      <x:c r="Q10" s="52" t="str">
        <x:f>IF(P10&gt;=20,"EXTREMO",IF(P10&gt;=12,"ALTO",IF(P10&gt;=6,"MODERADO","BAJO")))</x:f>
        <x:v>BAJO</x:v>
      </x:c>
      <x:c r="R10" s="52" t="str">
        <x:v>Mitigar: pruebas de lectura, teclado y conversión accesible</x:v>
      </x:c>
      <x:c r="S10" s="52" t="str">
        <x:v>% documentos validados</x:v>
      </x:c>
      <x:c r="T10" s="52" t="str">
        <x:v>100%</x:v>
      </x:c>
      <x:c r="U10" s="52" t="str">
        <x:v>Por versión</x:v>
      </x:c>
      <x:c r="V10" s="52" t="str">
        <x:v>En tratamiento</x:v>
      </x:c>
      <x:c r="W10" s="70" t="n">
        <x:v>46234</x:v>
      </x:c>
    </x:row>
    <x:row r="11" ht="82" customHeight="1">
      <x:c r="A11" s="52" t="str">
        <x:v>R-08</x:v>
      </x:c>
      <x:c r="B11" s="52" t="str">
        <x:v>Expediente contractual</x:v>
      </x:c>
      <x:c r="C11" s="52" t="str">
        <x:v>Omitir documentos o enlaces SECOP en el expediente</x:v>
      </x:c>
      <x:c r="D11" s="52" t="str">
        <x:v>Listas de chequeo incompletas y dispersión de soportes.</x:v>
      </x:c>
      <x:c r="E11" s="52" t="str">
        <x:v>Expediente incompleto, dificultad de control y defensa jurídica.</x:v>
      </x:c>
      <x:c r="F11" s="52" t="n">
        <x:v>4</x:v>
      </x:c>
      <x:c r="G11" s="52" t="n">
        <x:v>4</x:v>
      </x:c>
      <x:c r="H11" s="52" t="n">
        <x:f>F11*G11</x:f>
        <x:v>16</x:v>
      </x:c>
      <x:c r="I11" s="52" t="str">
        <x:f>IF(H11&gt;=20,"EXTREMO",IF(H11&gt;=12,"ALTO",IF(H11&gt;=6,"MODERADO","BAJO")))</x:f>
        <x:v>ALTO</x:v>
      </x:c>
      <x:c r="J11" s="52" t="str">
        <x:v>Lista de chequeo de 41 evidencias e índice electrónico</x:v>
      </x:c>
      <x:c r="K11" s="52" t="str">
        <x:v>Supervisor / Archivo</x:v>
      </x:c>
      <x:c r="L11" s="52" t="str">
        <x:v>Checklist, índice y rutas</x:v>
      </x:c>
      <x:c r="M11" s="52" t="str">
        <x:v>Media</x:v>
      </x:c>
      <x:c r="N11" s="52" t="n">
        <x:v>2</x:v>
      </x:c>
      <x:c r="O11" s="52" t="n">
        <x:v>3</x:v>
      </x:c>
      <x:c r="P11" s="52" t="n">
        <x:f>N11*O11</x:f>
        <x:v>6</x:v>
      </x:c>
      <x:c r="Q11" s="52" t="str">
        <x:f>IF(P11&gt;=20,"EXTREMO",IF(P11&gt;=12,"ALTO",IF(P11&gt;=6,"MODERADO","BAJO")))</x:f>
        <x:v>MODERADO</x:v>
      </x:c>
      <x:c r="R11" s="52" t="str">
        <x:v>Mitigar: cierre obligatorio antes de transferencia</x:v>
      </x:c>
      <x:c r="S11" s="52" t="str">
        <x:v>% expedientes completos</x:v>
      </x:c>
      <x:c r="T11" s="52" t="str">
        <x:v>100%</x:v>
      </x:c>
      <x:c r="U11" s="52" t="str">
        <x:v>Por contrato</x:v>
      </x:c>
      <x:c r="V11" s="52" t="str">
        <x:v>Abierto</x:v>
      </x:c>
      <x:c r="W11" s="70" t="n">
        <x:v>46234</x:v>
      </x:c>
    </x:row>
    <x:row r="12" ht="82" customHeight="1">
      <x:c r="A12" s="52" t="str">
        <x:v>R-09</x:v>
      </x:c>
      <x:c r="B12" s="52" t="str">
        <x:v>Aplicativo</x:v>
      </x:c>
      <x:c r="C12" s="52" t="str">
        <x:v>Automatizar reglas jurídicas incorrectas o rígidas</x:v>
      </x:c>
      <x:c r="D12" s="52" t="str">
        <x:v>Parametrización sin gobierno, pruebas ni actualización normativa.</x:v>
      </x:c>
      <x:c r="E12" s="52" t="str">
        <x:v>Generación masiva de documentos erróneos.</x:v>
      </x:c>
      <x:c r="F12" s="52" t="n">
        <x:v>3</x:v>
      </x:c>
      <x:c r="G12" s="52" t="n">
        <x:v>5</x:v>
      </x:c>
      <x:c r="H12" s="52" t="n">
        <x:f>F12*G12</x:f>
        <x:v>15</x:v>
      </x:c>
      <x:c r="I12" s="52" t="str">
        <x:f>IF(H12&gt;=20,"EXTREMO",IF(H12&gt;=12,"ALTO",IF(H12&gt;=6,"MODERADO","BAJO")))</x:f>
        <x:v>ALTO</x:v>
      </x:c>
      <x:c r="J12" s="52" t="str">
        <x:v>Motor de reglas versionado, revisión humana y entorno de pruebas</x:v>
      </x:c>
      <x:c r="K12" s="52" t="str">
        <x:v>Calidad / Jurídica / TIC</x:v>
      </x:c>
      <x:c r="L12" s="52" t="str">
        <x:v>Casos de prueba, aprobación y bitácora</x:v>
      </x:c>
      <x:c r="M12" s="52" t="str">
        <x:v>Media</x:v>
      </x:c>
      <x:c r="N12" s="52" t="n">
        <x:v>1</x:v>
      </x:c>
      <x:c r="O12" s="52" t="n">
        <x:v>5</x:v>
      </x:c>
      <x:c r="P12" s="52" t="n">
        <x:f>N12*O12</x:f>
        <x:v>5</x:v>
      </x:c>
      <x:c r="Q12" s="52" t="str">
        <x:f>IF(P12&gt;=20,"EXTREMO",IF(P12&gt;=12,"ALTO",IF(P12&gt;=6,"MODERADO","BAJO")))</x:f>
        <x:v>BAJO</x:v>
      </x:c>
      <x:c r="R12" s="52" t="str">
        <x:v>Mitigar: no habilitar producción sin aprobación integral</x:v>
      </x:c>
      <x:c r="S12" s="52" t="str">
        <x:v>Errores críticos en producción</x:v>
      </x:c>
      <x:c r="T12" s="52" t="str">
        <x:v>0</x:v>
      </x:c>
      <x:c r="U12" s="52" t="str">
        <x:v>Por versión</x:v>
      </x:c>
      <x:c r="V12" s="52" t="str">
        <x:v>Diseño</x:v>
      </x:c>
      <x:c r="W12" s="70" t="n">
        <x:v>46234</x:v>
      </x:c>
    </x:row>
    <x:row r="13" ht="82" customHeight="1">
      <x:c r="A13" s="52" t="str">
        <x:v>R-10</x:v>
      </x:c>
      <x:c r="B13" s="52" t="str">
        <x:v>Ciberseguridad</x:v>
      </x:c>
      <x:c r="C13" s="52" t="str">
        <x:v>Pérdida, alteración o acceso no autorizado a expedientes y formatos</x:v>
      </x:c>
      <x:c r="D13" s="52" t="str">
        <x:v>Controles de acceso, respaldo o trazabilidad insuficientes.</x:v>
      </x:c>
      <x:c r="E13" s="52" t="str">
        <x:v>Indisponibilidad, fuga de información y pérdida de integridad.</x:v>
      </x:c>
      <x:c r="F13" s="52" t="n">
        <x:v>3</x:v>
      </x:c>
      <x:c r="G13" s="52" t="n">
        <x:v>5</x:v>
      </x:c>
      <x:c r="H13" s="52" t="n">
        <x:f>F13*G13</x:f>
        <x:v>15</x:v>
      </x:c>
      <x:c r="I13" s="52" t="str">
        <x:f>IF(H13&gt;=20,"EXTREMO",IF(H13&gt;=12,"ALTO",IF(H13&gt;=6,"MODERADO","BAJO")))</x:f>
        <x:v>ALTO</x:v>
      </x:c>
      <x:c r="J13" s="52" t="str">
        <x:v>Roles, MFA, respaldos, cifrado, logs, hash y segregación</x:v>
      </x:c>
      <x:c r="K13" s="52" t="str">
        <x:v>TIC / Seguridad de la información</x:v>
      </x:c>
      <x:c r="L13" s="52" t="str">
        <x:v>Logs, pruebas de restauración y auditorías</x:v>
      </x:c>
      <x:c r="M13" s="52" t="str">
        <x:v>Media</x:v>
      </x:c>
      <x:c r="N13" s="52" t="n">
        <x:v>1</x:v>
      </x:c>
      <x:c r="O13" s="52" t="n">
        <x:v>5</x:v>
      </x:c>
      <x:c r="P13" s="52" t="n">
        <x:f>N13*O13</x:f>
        <x:v>5</x:v>
      </x:c>
      <x:c r="Q13" s="52" t="str">
        <x:f>IF(P13&gt;=20,"EXTREMO",IF(P13&gt;=12,"ALTO",IF(P13&gt;=6,"MODERADO","BAJO")))</x:f>
        <x:v>BAJO</x:v>
      </x:c>
      <x:c r="R13" s="52" t="str">
        <x:v>Mitigar: integrar controles desde el diseño</x:v>
      </x:c>
      <x:c r="S13" s="52" t="str">
        <x:v>Disponibilidad e integridad</x:v>
      </x:c>
      <x:c r="T13" s="52" t="str">
        <x:v>≥99,5% / 100%</x:v>
      </x:c>
      <x:c r="U13" s="52" t="str">
        <x:v>Mensual</x:v>
      </x:c>
      <x:c r="V13" s="52" t="str">
        <x:v>Diseño</x:v>
      </x:c>
      <x:c r="W13" s="70" t="n">
        <x:v>46234</x:v>
      </x:c>
    </x:row>
    <x:row r="14" ht="82" customHeight="1">
      <x:c r="A14" s="52" t="str">
        <x:v>R-11</x:v>
      </x:c>
      <x:c r="B14" s="52" t="str">
        <x:v>Cambio organizacional</x:v>
      </x:c>
      <x:c r="C14" s="52" t="str">
        <x:v>Retraso en aprobación o implementación del aplicativo</x:v>
      </x:c>
      <x:c r="D14" s="52" t="str">
        <x:v>Falta de responsables, recursos o decisiones.</x:v>
      </x:c>
      <x:c r="E14" s="52" t="str">
        <x:v>Prolongación del uso transitorio y reprocesos manuales.</x:v>
      </x:c>
      <x:c r="F14" s="52" t="n">
        <x:v>4</x:v>
      </x:c>
      <x:c r="G14" s="52" t="n">
        <x:v>3</x:v>
      </x:c>
      <x:c r="H14" s="52" t="n">
        <x:f>F14*G14</x:f>
        <x:v>12</x:v>
      </x:c>
      <x:c r="I14" s="52" t="str">
        <x:f>IF(H14&gt;=20,"EXTREMO",IF(H14&gt;=12,"ALTO",IF(H14&gt;=6,"MODERADO","BAJO")))</x:f>
        <x:v>ALTO</x:v>
      </x:c>
      <x:c r="J14" s="52" t="str">
        <x:v>Hoja de ruta, responsables, hitos y reporte de avance</x:v>
      </x:c>
      <x:c r="K14" s="52" t="str">
        <x:v>Alta Dirección / Calidad</x:v>
      </x:c>
      <x:c r="L14" s="52" t="str">
        <x:v>Cronograma y comité de seguimiento</x:v>
      </x:c>
      <x:c r="M14" s="52" t="str">
        <x:v>Media</x:v>
      </x:c>
      <x:c r="N14" s="52" t="n">
        <x:v>2</x:v>
      </x:c>
      <x:c r="O14" s="52" t="n">
        <x:v>3</x:v>
      </x:c>
      <x:c r="P14" s="52" t="n">
        <x:f>N14*O14</x:f>
        <x:v>6</x:v>
      </x:c>
      <x:c r="Q14" s="52" t="str">
        <x:f>IF(P14&gt;=20,"EXTREMO",IF(P14&gt;=12,"ALTO",IF(P14&gt;=6,"MODERADO","BAJO")))</x:f>
        <x:v>MODERADO</x:v>
      </x:c>
      <x:c r="R14" s="52" t="str">
        <x:v>Mitigar: priorizar fases y entregables mínimos</x:v>
      </x:c>
      <x:c r="S14" s="52" t="str">
        <x:v>% hitos cumplidos</x:v>
      </x:c>
      <x:c r="T14" s="52" t="str">
        <x:v>≥90%</x:v>
      </x:c>
      <x:c r="U14" s="52" t="str">
        <x:v>Mensual</x:v>
      </x:c>
      <x:c r="V14" s="52" t="str">
        <x:v>Abierto</x:v>
      </x:c>
      <x:c r="W14" s="70" t="n">
        <x:v>46234</x:v>
      </x:c>
    </x:row>
    <x:row r="15" ht="82" customHeight="1">
      <x:c r="A15" s="52" t="str">
        <x:v>R-12</x:v>
      </x:c>
      <x:c r="B15" s="52" t="str">
        <x:v>Actualización normativa</x:v>
      </x:c>
      <x:c r="C15" s="52" t="str">
        <x:v>Mantener formatos sin revisar después de cambios legales o de CCE</x:v>
      </x:c>
      <x:c r="D15" s="52" t="str">
        <x:v>No tener alertas ni periodicidad definida.</x:v>
      </x:c>
      <x:c r="E15" s="52" t="str">
        <x:v>Modelos desactualizados y decisiones contrarias al marco vigente.</x:v>
      </x:c>
      <x:c r="F15" s="52" t="n">
        <x:v>4</x:v>
      </x:c>
      <x:c r="G15" s="52" t="n">
        <x:v>5</x:v>
      </x:c>
      <x:c r="H15" s="52" t="n">
        <x:f>F15*G15</x:f>
        <x:v>20</x:v>
      </x:c>
      <x:c r="I15" s="52" t="str">
        <x:f>IF(H15&gt;=20,"EXTREMO",IF(H15&gt;=12,"ALTO",IF(H15&gt;=6,"MODERADO","BAJO")))</x:f>
        <x:v>EXTREMO</x:v>
      </x:c>
      <x:c r="J15" s="52" t="str">
        <x:v>Revisión trimestral y por evento normativo; registro de cambios</x:v>
      </x:c>
      <x:c r="K15" s="52" t="str">
        <x:v>Jurídica / Calidad</x:v>
      </x:c>
      <x:c r="L15" s="52" t="str">
        <x:v>Matriz normativa y acta de revisión</x:v>
      </x:c>
      <x:c r="M15" s="52" t="str">
        <x:v>Media</x:v>
      </x:c>
      <x:c r="N15" s="52" t="n">
        <x:v>2</x:v>
      </x:c>
      <x:c r="O15" s="52" t="n">
        <x:v>4</x:v>
      </x:c>
      <x:c r="P15" s="52" t="n">
        <x:f>N15*O15</x:f>
        <x:v>8</x:v>
      </x:c>
      <x:c r="Q15" s="52" t="str">
        <x:f>IF(P15&gt;=20,"EXTREMO",IF(P15&gt;=12,"ALTO",IF(P15&gt;=6,"MODERADO","BAJO")))</x:f>
        <x:v>MODERADO</x:v>
      </x:c>
      <x:c r="R15" s="52" t="str">
        <x:v>Mitigar: alertas y responsable normativo</x:v>
      </x:c>
      <x:c r="S15" s="52" t="str">
        <x:v>Días para actualizar</x:v>
      </x:c>
      <x:c r="T15" s="52" t="str">
        <x:v>≤30</x:v>
      </x:c>
      <x:c r="U15" s="52" t="str">
        <x:v>Trimestral / evento</x:v>
      </x:c>
      <x:c r="V15" s="52" t="str">
        <x:v>Abierto</x:v>
      </x:c>
      <x:c r="W15" s="70" t="n">
        <x:v>46234</x:v>
      </x:c>
    </x:row>
  </x:sheetData>
  <x:mergeCells>
    <x:mergeCell ref="A1:W1"/>
  </x:mergeCells>
  <x:conditionalFormatting sqref="H4:H15">
    <x:cfRule type="colorScale" priority="1">
      <x:colorScale>
        <x:cfvo type="min"/>
        <x:cfvo type="percentile" val="50"/>
        <x:cfvo type="max"/>
        <x:color rgb="FFE2F0D9"/>
        <x:color rgb="FFFFF4CE"/>
        <x:color rgb="FFFCE8E6"/>
      </x:colorScale>
    </x:cfRule>
  </x:conditionalFormatting>
  <x:conditionalFormatting sqref="P4:P15">
    <x:cfRule type="colorScale" priority="2">
      <x:colorScale>
        <x:cfvo type="min"/>
        <x:cfvo type="percentile" val="50"/>
        <x:cfvo type="max"/>
        <x:color rgb="FFE2F0D9"/>
        <x:color rgb="FFFFF4CE"/>
        <x:color rgb="FFFCE8E6"/>
      </x:colorScale>
    </x:cfRule>
  </x:conditionalFormatting>
  <x:conditionalFormatting sqref="I4:I15">
    <x:cfRule type="expression" dxfId="7" priority="3">
      <x:formula>I4="EXTREMO"</x:formula>
    </x:cfRule>
  </x:conditionalFormatting>
  <x:conditionalFormatting sqref="Q4:Q15">
    <x:cfRule type="expression" dxfId="8" priority="4">
      <x:formula>Q4="EXTREMO"</x:formula>
    </x:cfRule>
  </x:conditionalFormatting>
  <x:dataValidations count="4">
    <x:dataValidation type="list" sqref="F4:G15">
      <x:formula1>"1,2,3,4,5"</x:formula1>
    </x:dataValidation>
    <x:dataValidation type="list" sqref="N4:O15">
      <x:formula1>"1,2,3,4,5"</x:formula1>
    </x:dataValidation>
    <x:dataValidation type="list" sqref="M4:M15">
      <x:formula1>"Baja,Media,Alta"</x:formula1>
    </x:dataValidation>
    <x:dataValidation type="list" sqref="V4:V15">
      <x:formula1>"Abierto,En tratamiento,Controlado,Cerrado,Diseño"</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7" hidden="0" customWidth="1"/>
    <x:col min="2" max="2" width="15" hidden="0" customWidth="1"/>
    <x:col min="3" max="3" width="45" hidden="0" customWidth="1"/>
    <x:col min="4" max="4" width="13" hidden="0" customWidth="1"/>
    <x:col min="5" max="5" width="16" hidden="0" customWidth="1"/>
    <x:col min="6" max="6" width="15" hidden="0" customWidth="1"/>
    <x:col min="7" max="7" width="35" hidden="0" customWidth="1"/>
    <x:col min="8" max="8" width="24" hidden="0" customWidth="1"/>
    <x:col min="9" max="9" width="19" hidden="0" customWidth="1"/>
    <x:col min="10" max="10" width="18" hidden="0" customWidth="1"/>
    <x:col min="11" max="11" width="18" hidden="0" customWidth="1"/>
    <x:col min="12" max="12" width="39" hidden="0" customWidth="1"/>
    <x:col min="13" max="13" width="13" hidden="0" customWidth="1"/>
    <x:col min="14" max="14" width="20" hidden="0" customWidth="1"/>
  </x:cols>
  <x:sheetData>
    <x:row r="1">
      <x:c r="A1" s="6" t="str">
        <x:v>LISTA DE CHEQUEO MAESTRA DEL EXPEDIENTE CONTRACTUAL</x:v>
      </x:c>
      <x:c r="B1" s="6"/>
      <x:c r="C1" s="6"/>
      <x:c r="D1" s="6"/>
      <x:c r="E1" s="6"/>
      <x:c r="F1" s="6"/>
      <x:c r="G1" s="6"/>
      <x:c r="H1" s="6"/>
      <x:c r="I1" s="6"/>
      <x:c r="J1" s="6"/>
      <x:c r="K1" s="6"/>
      <x:c r="L1" s="6"/>
      <x:c r="M1" s="6"/>
      <x:c r="N1" s="6"/>
    </x:row>
    <x:row r="3">
      <x:c r="A3" s="62" t="str">
        <x:v>Proceso / contrato No.</x:v>
      </x:c>
      <x:c r="B3" s="52" t="str"/>
      <x:c r="D3" s="25" t="str">
        <x:v>Avance del expediente</x:v>
      </x:c>
      <x:c r="E3" s="25"/>
      <x:c r="F3" s="25"/>
      <x:c r="G3" s="25"/>
      <x:c r="H3" s="25"/>
      <x:c r="I3" s="25"/>
      <x:c r="J3" s="25"/>
      <x:c r="K3" s="25"/>
      <x:c r="L3" s="25"/>
      <x:c r="M3" s="25"/>
      <x:c r="N3" s="25"/>
    </x:row>
    <x:row r="4">
      <x:c r="A4" s="62" t="str">
        <x:v>Objeto</x:v>
      </x:c>
      <x:c r="B4" s="52" t="str"/>
      <x:c r="D4" s="90" t="n">
        <x:f>COUNTIF(E11:E51,"Completo")</x:f>
        <x:v>0</x:v>
      </x:c>
      <x:c r="E4" s="90"/>
      <x:c r="F4" s="90"/>
      <x:c r="G4" s="90" t="n">
        <x:f>COUNTA(C11:C51)</x:f>
        <x:v>41</x:v>
      </x:c>
      <x:c r="H4" s="90"/>
      <x:c r="I4" s="90"/>
      <x:c r="J4" s="92" t="n">
        <x:f>IF(G4=0,0,D4/G4)</x:f>
        <x:v>0</x:v>
      </x:c>
      <x:c r="K4" s="92"/>
      <x:c r="L4" s="92"/>
      <x:c r="M4" s="92"/>
      <x:c r="N4" s="92"/>
    </x:row>
    <x:row r="5">
      <x:c r="A5" s="62" t="str">
        <x:v>Tipología / subserie TRD</x:v>
      </x:c>
      <x:c r="B5" s="52" t="str"/>
      <x:c r="D5" s="90"/>
      <x:c r="E5" s="90"/>
      <x:c r="F5" s="90"/>
      <x:c r="G5" s="90"/>
      <x:c r="H5" s="90"/>
      <x:c r="I5" s="90"/>
      <x:c r="J5" s="92"/>
      <x:c r="K5" s="92"/>
      <x:c r="L5" s="92"/>
      <x:c r="M5" s="92"/>
      <x:c r="N5" s="92"/>
    </x:row>
    <x:row r="6">
      <x:c r="A6" s="62" t="str">
        <x:v>Dependencia responsable</x:v>
      </x:c>
      <x:c r="B6" s="52" t="str"/>
      <x:c r="D6" s="90"/>
      <x:c r="E6" s="90"/>
      <x:c r="F6" s="90"/>
      <x:c r="G6" s="90"/>
      <x:c r="H6" s="90"/>
      <x:c r="I6" s="90"/>
      <x:c r="J6" s="92"/>
      <x:c r="K6" s="92"/>
      <x:c r="L6" s="92"/>
      <x:c r="M6" s="92"/>
      <x:c r="N6" s="92"/>
    </x:row>
    <x:row r="7">
      <x:c r="A7" s="62" t="str">
        <x:v>Responsable del expediente</x:v>
      </x:c>
      <x:c r="B7" s="52" t="str"/>
      <x:c r="D7" s="16" t="str">
        <x:v>Documentos completos</x:v>
      </x:c>
      <x:c r="E7" s="16"/>
      <x:c r="F7" s="16"/>
      <x:c r="G7" s="16" t="str">
        <x:v>Controles previstos</x:v>
      </x:c>
      <x:c r="H7" s="16"/>
      <x:c r="I7" s="16"/>
      <x:c r="J7" s="16" t="str">
        <x:v>Completitud</x:v>
      </x:c>
      <x:c r="K7" s="16"/>
      <x:c r="L7" s="16"/>
      <x:c r="M7" s="16"/>
      <x:c r="N7" s="16"/>
    </x:row>
    <x:row r="8">
      <x:c r="A8" s="62" t="str">
        <x:v>Soporte</x:v>
      </x:c>
      <x:c r="B8" s="52" t="str">
        <x:v>Electrónico / físico / híbrido</x:v>
      </x:c>
    </x:row>
    <x:row r="10" ht="48" customHeight="1">
      <x:c r="A10" s="25" t="str">
        <x:v>No.</x:v>
      </x:c>
      <x:c r="B10" s="25" t="str">
        <x:v>Etapa</x:v>
      </x:c>
      <x:c r="C10" s="25" t="str">
        <x:v>Documento / evidencia</x:v>
      </x:c>
      <x:c r="D10" s="25" t="str">
        <x:v>¿Aplica?</x:v>
      </x:c>
      <x:c r="E10" s="25" t="str">
        <x:v>Estado</x:v>
      </x:c>
      <x:c r="F10" s="25" t="str">
        <x:v>Fecha documento</x:v>
      </x:c>
      <x:c r="G10" s="25" t="str">
        <x:v>Ubicación / URL / folio</x:v>
      </x:c>
      <x:c r="H10" s="25" t="str">
        <x:v>Responsable</x:v>
      </x:c>
      <x:c r="I10" s="25" t="str">
        <x:v>Validación supervisor</x:v>
      </x:c>
      <x:c r="J10" s="25" t="str">
        <x:v>Validación jurídica</x:v>
      </x:c>
      <x:c r="K10" s="25" t="str">
        <x:v>Validación archivo</x:v>
      </x:c>
      <x:c r="L10" s="25" t="str">
        <x:v>Observación</x:v>
      </x:c>
      <x:c r="M10" s="25" t="str">
        <x:v>Días pendientes</x:v>
      </x:c>
      <x:c r="N10" s="25" t="str">
        <x:v>Alerta</x:v>
      </x:c>
    </x:row>
    <x:row r="11" ht="42" customHeight="1">
      <x:c r="A11" s="52" t="n">
        <x:v>1</x:v>
      </x:c>
      <x:c r="B11" s="52" t="str">
        <x:v>PLANEACIÓN</x:v>
      </x:c>
      <x:c r="C11" s="52" t="str">
        <x:v>Plan Anual de Adquisiciones / modificación</x:v>
      </x:c>
      <x:c r="D11" s="52" t="str">
        <x:v>Por definir</x:v>
      </x:c>
      <x:c r="E11" s="52" t="str">
        <x:v>Pendiente</x:v>
      </x:c>
      <x:c r="F11" s="70" t="str"/>
      <x:c r="G11" s="52" t="str"/>
      <x:c r="H11" s="52" t="str"/>
      <x:c r="I11" s="52" t="str">
        <x:v>Pendiente</x:v>
      </x:c>
      <x:c r="J11" s="52" t="str">
        <x:v>Pendiente</x:v>
      </x:c>
      <x:c r="K11" s="52" t="str">
        <x:v>Pendiente</x:v>
      </x:c>
      <x:c r="L11" s="52" t="str"/>
      <x:c r="M11" s="52" t="str">
        <x:f>IF(F11="","",MAX(0,TODAY()-F11))</x:f>
      </x:c>
      <x:c r="N11" s="52" t="str">
        <x:f>IF(D11="No aplica","N.A.",IF(E11="Completo","OK",IF(M11&gt;30,"VENCIDO / ESCALAR","PENDIENTE")))</x:f>
        <x:v>PENDIENTE</x:v>
      </x:c>
    </x:row>
    <x:row r="12" ht="42" customHeight="1">
      <x:c r="A12" s="52" t="n">
        <x:v>2</x:v>
      </x:c>
      <x:c r="B12" s="52" t="str">
        <x:v>PLANEACIÓN</x:v>
      </x:c>
      <x:c r="C12" s="52" t="str">
        <x:v>Solicitud de contratación y necesidad</x:v>
      </x:c>
      <x:c r="D12" s="52" t="str">
        <x:v>Por definir</x:v>
      </x:c>
      <x:c r="E12" s="52" t="str">
        <x:v>Pendiente</x:v>
      </x:c>
      <x:c r="F12" s="70" t="str"/>
      <x:c r="G12" s="52" t="str"/>
      <x:c r="H12" s="52" t="str"/>
      <x:c r="I12" s="52" t="str">
        <x:v>Pendiente</x:v>
      </x:c>
      <x:c r="J12" s="52" t="str">
        <x:v>Pendiente</x:v>
      </x:c>
      <x:c r="K12" s="52" t="str">
        <x:v>Pendiente</x:v>
      </x:c>
      <x:c r="L12" s="52" t="str"/>
      <x:c r="M12" s="52" t="str">
        <x:f>IF(F12="","",MAX(0,TODAY()-F12))</x:f>
      </x:c>
      <x:c r="N12" s="52" t="str">
        <x:f>IF(D12="No aplica","N.A.",IF(E12="Completo","OK",IF(M12&gt;30,"VENCIDO / ESCALAR","PENDIENTE")))</x:f>
        <x:v>PENDIENTE</x:v>
      </x:c>
    </x:row>
    <x:row r="13" ht="42" customHeight="1">
      <x:c r="A13" s="52" t="n">
        <x:v>3</x:v>
      </x:c>
      <x:c r="B13" s="52" t="str">
        <x:v>PLANEACIÓN</x:v>
      </x:c>
      <x:c r="C13" s="52" t="str">
        <x:v>Estudios y documentos previos</x:v>
      </x:c>
      <x:c r="D13" s="52" t="str">
        <x:v>Por definir</x:v>
      </x:c>
      <x:c r="E13" s="52" t="str">
        <x:v>Pendiente</x:v>
      </x:c>
      <x:c r="F13" s="70" t="str"/>
      <x:c r="G13" s="52" t="str"/>
      <x:c r="H13" s="52" t="str"/>
      <x:c r="I13" s="52" t="str">
        <x:v>Pendiente</x:v>
      </x:c>
      <x:c r="J13" s="52" t="str">
        <x:v>Pendiente</x:v>
      </x:c>
      <x:c r="K13" s="52" t="str">
        <x:v>Pendiente</x:v>
      </x:c>
      <x:c r="L13" s="52" t="str"/>
      <x:c r="M13" s="52" t="str">
        <x:f>IF(F13="","",MAX(0,TODAY()-F13))</x:f>
      </x:c>
      <x:c r="N13" s="52" t="str">
        <x:f>IF(D13="No aplica","N.A.",IF(E13="Completo","OK",IF(M13&gt;30,"VENCIDO / ESCALAR","PENDIENTE")))</x:f>
        <x:v>PENDIENTE</x:v>
      </x:c>
    </x:row>
    <x:row r="14" ht="42" customHeight="1">
      <x:c r="A14" s="52" t="n">
        <x:v>4</x:v>
      </x:c>
      <x:c r="B14" s="52" t="str">
        <x:v>PLANEACIÓN</x:v>
      </x:c>
      <x:c r="C14" s="52" t="str">
        <x:v>Análisis del sector / estudio de mercado</x:v>
      </x:c>
      <x:c r="D14" s="52" t="str">
        <x:v>Por definir</x:v>
      </x:c>
      <x:c r="E14" s="52" t="str">
        <x:v>Pendiente</x:v>
      </x:c>
      <x:c r="F14" s="70" t="str"/>
      <x:c r="G14" s="52" t="str"/>
      <x:c r="H14" s="52" t="str"/>
      <x:c r="I14" s="52" t="str">
        <x:v>Pendiente</x:v>
      </x:c>
      <x:c r="J14" s="52" t="str">
        <x:v>Pendiente</x:v>
      </x:c>
      <x:c r="K14" s="52" t="str">
        <x:v>Pendiente</x:v>
      </x:c>
      <x:c r="L14" s="52" t="str"/>
      <x:c r="M14" s="52" t="str">
        <x:f>IF(F14="","",MAX(0,TODAY()-F14))</x:f>
      </x:c>
      <x:c r="N14" s="52" t="str">
        <x:f>IF(D14="No aplica","N.A.",IF(E14="Completo","OK",IF(M14&gt;30,"VENCIDO / ESCALAR","PENDIENTE")))</x:f>
        <x:v>PENDIENTE</x:v>
      </x:c>
    </x:row>
    <x:row r="15" ht="42" customHeight="1">
      <x:c r="A15" s="52" t="n">
        <x:v>5</x:v>
      </x:c>
      <x:c r="B15" s="52" t="str">
        <x:v>PLANEACIÓN</x:v>
      </x:c>
      <x:c r="C15" s="52" t="str">
        <x:v>Cotizaciones y fuentes de precios</x:v>
      </x:c>
      <x:c r="D15" s="52" t="str">
        <x:v>Por definir</x:v>
      </x:c>
      <x:c r="E15" s="52" t="str">
        <x:v>Pendiente</x:v>
      </x:c>
      <x:c r="F15" s="70" t="str"/>
      <x:c r="G15" s="52" t="str"/>
      <x:c r="H15" s="52" t="str"/>
      <x:c r="I15" s="52" t="str">
        <x:v>Pendiente</x:v>
      </x:c>
      <x:c r="J15" s="52" t="str">
        <x:v>Pendiente</x:v>
      </x:c>
      <x:c r="K15" s="52" t="str">
        <x:v>Pendiente</x:v>
      </x:c>
      <x:c r="L15" s="52" t="str"/>
      <x:c r="M15" s="52" t="str">
        <x:f>IF(F15="","",MAX(0,TODAY()-F15))</x:f>
      </x:c>
      <x:c r="N15" s="52" t="str">
        <x:f>IF(D15="No aplica","N.A.",IF(E15="Completo","OK",IF(M15&gt;30,"VENCIDO / ESCALAR","PENDIENTE")))</x:f>
        <x:v>PENDIENTE</x:v>
      </x:c>
    </x:row>
    <x:row r="16" ht="42" customHeight="1">
      <x:c r="A16" s="52" t="n">
        <x:v>6</x:v>
      </x:c>
      <x:c r="B16" s="52" t="str">
        <x:v>PLANEACIÓN</x:v>
      </x:c>
      <x:c r="C16" s="52" t="str">
        <x:v>Matriz de riesgos</x:v>
      </x:c>
      <x:c r="D16" s="52" t="str">
        <x:v>Por definir</x:v>
      </x:c>
      <x:c r="E16" s="52" t="str">
        <x:v>Pendiente</x:v>
      </x:c>
      <x:c r="F16" s="70" t="str"/>
      <x:c r="G16" s="52" t="str"/>
      <x:c r="H16" s="52" t="str"/>
      <x:c r="I16" s="52" t="str">
        <x:v>Pendiente</x:v>
      </x:c>
      <x:c r="J16" s="52" t="str">
        <x:v>Pendiente</x:v>
      </x:c>
      <x:c r="K16" s="52" t="str">
        <x:v>Pendiente</x:v>
      </x:c>
      <x:c r="L16" s="52" t="str"/>
      <x:c r="M16" s="52" t="str">
        <x:f>IF(F16="","",MAX(0,TODAY()-F16))</x:f>
      </x:c>
      <x:c r="N16" s="52" t="str">
        <x:f>IF(D16="No aplica","N.A.",IF(E16="Completo","OK",IF(M16&gt;30,"VENCIDO / ESCALAR","PENDIENTE")))</x:f>
        <x:v>PENDIENTE</x:v>
      </x:c>
    </x:row>
    <x:row r="17" ht="42" customHeight="1">
      <x:c r="A17" s="52" t="n">
        <x:v>7</x:v>
      </x:c>
      <x:c r="B17" s="52" t="str">
        <x:v>PLANEACIÓN</x:v>
      </x:c>
      <x:c r="C17" s="52" t="str">
        <x:v>Ficha de aplicabilidad Documentos Tipo</x:v>
      </x:c>
      <x:c r="D17" s="52" t="str">
        <x:v>Por definir</x:v>
      </x:c>
      <x:c r="E17" s="52" t="str">
        <x:v>Pendiente</x:v>
      </x:c>
      <x:c r="F17" s="70" t="str"/>
      <x:c r="G17" s="52" t="str"/>
      <x:c r="H17" s="52" t="str"/>
      <x:c r="I17" s="52" t="str">
        <x:v>Pendiente</x:v>
      </x:c>
      <x:c r="J17" s="52" t="str">
        <x:v>Pendiente</x:v>
      </x:c>
      <x:c r="K17" s="52" t="str">
        <x:v>Pendiente</x:v>
      </x:c>
      <x:c r="L17" s="52" t="str"/>
      <x:c r="M17" s="52" t="str">
        <x:f>IF(F17="","",MAX(0,TODAY()-F17))</x:f>
      </x:c>
      <x:c r="N17" s="52" t="str">
        <x:f>IF(D17="No aplica","N.A.",IF(E17="Completo","OK",IF(M17&gt;30,"VENCIDO / ESCALAR","PENDIENTE")))</x:f>
        <x:v>PENDIENTE</x:v>
      </x:c>
    </x:row>
    <x:row r="18" ht="42" customHeight="1">
      <x:c r="A18" s="52" t="n">
        <x:v>8</x:v>
      </x:c>
      <x:c r="B18" s="52" t="str">
        <x:v>PLANEACIÓN</x:v>
      </x:c>
      <x:c r="C18" s="52" t="str">
        <x:v>CDP / vigencias futuras</x:v>
      </x:c>
      <x:c r="D18" s="52" t="str">
        <x:v>Por definir</x:v>
      </x:c>
      <x:c r="E18" s="52" t="str">
        <x:v>Pendiente</x:v>
      </x:c>
      <x:c r="F18" s="70" t="str"/>
      <x:c r="G18" s="52" t="str"/>
      <x:c r="H18" s="52" t="str"/>
      <x:c r="I18" s="52" t="str">
        <x:v>Pendiente</x:v>
      </x:c>
      <x:c r="J18" s="52" t="str">
        <x:v>Pendiente</x:v>
      </x:c>
      <x:c r="K18" s="52" t="str">
        <x:v>Pendiente</x:v>
      </x:c>
      <x:c r="L18" s="52" t="str"/>
      <x:c r="M18" s="52" t="str">
        <x:f>IF(F18="","",MAX(0,TODAY()-F18))</x:f>
      </x:c>
      <x:c r="N18" s="52" t="str">
        <x:f>IF(D18="No aplica","N.A.",IF(E18="Completo","OK",IF(M18&gt;30,"VENCIDO / ESCALAR","PENDIENTE")))</x:f>
        <x:v>PENDIENTE</x:v>
      </x:c>
    </x:row>
    <x:row r="19" ht="42" customHeight="1">
      <x:c r="A19" s="52" t="n">
        <x:v>9</x:v>
      </x:c>
      <x:c r="B19" s="52" t="str">
        <x:v>PLANEACIÓN</x:v>
      </x:c>
      <x:c r="C19" s="52" t="str">
        <x:v>Permisos, diseños, licencias y anexos técnicos</x:v>
      </x:c>
      <x:c r="D19" s="52" t="str">
        <x:v>Por definir</x:v>
      </x:c>
      <x:c r="E19" s="52" t="str">
        <x:v>Pendiente</x:v>
      </x:c>
      <x:c r="F19" s="70" t="str"/>
      <x:c r="G19" s="52" t="str"/>
      <x:c r="H19" s="52" t="str"/>
      <x:c r="I19" s="52" t="str">
        <x:v>Pendiente</x:v>
      </x:c>
      <x:c r="J19" s="52" t="str">
        <x:v>Pendiente</x:v>
      </x:c>
      <x:c r="K19" s="52" t="str">
        <x:v>Pendiente</x:v>
      </x:c>
      <x:c r="L19" s="52" t="str"/>
      <x:c r="M19" s="52" t="str">
        <x:f>IF(F19="","",MAX(0,TODAY()-F19))</x:f>
      </x:c>
      <x:c r="N19" s="52" t="str">
        <x:f>IF(D19="No aplica","N.A.",IF(E19="Completo","OK",IF(M19&gt;30,"VENCIDO / ESCALAR","PENDIENTE")))</x:f>
        <x:v>PENDIENTE</x:v>
      </x:c>
    </x:row>
    <x:row r="20" ht="42" customHeight="1">
      <x:c r="A20" s="52" t="n">
        <x:v>10</x:v>
      </x:c>
      <x:c r="B20" s="52" t="str">
        <x:v>SELECCIÓN</x:v>
      </x:c>
      <x:c r="C20" s="52" t="str">
        <x:v>Aviso / invitación / proyecto de pliego</x:v>
      </x:c>
      <x:c r="D20" s="52" t="str">
        <x:v>Por definir</x:v>
      </x:c>
      <x:c r="E20" s="52" t="str">
        <x:v>Pendiente</x:v>
      </x:c>
      <x:c r="F20" s="70" t="str"/>
      <x:c r="G20" s="52" t="str"/>
      <x:c r="H20" s="52" t="str"/>
      <x:c r="I20" s="52" t="str">
        <x:v>Pendiente</x:v>
      </x:c>
      <x:c r="J20" s="52" t="str">
        <x:v>Pendiente</x:v>
      </x:c>
      <x:c r="K20" s="52" t="str">
        <x:v>Pendiente</x:v>
      </x:c>
      <x:c r="L20" s="52" t="str"/>
      <x:c r="M20" s="52" t="str">
        <x:f>IF(F20="","",MAX(0,TODAY()-F20))</x:f>
      </x:c>
      <x:c r="N20" s="52" t="str">
        <x:f>IF(D20="No aplica","N.A.",IF(E20="Completo","OK",IF(M20&gt;30,"VENCIDO / ESCALAR","PENDIENTE")))</x:f>
        <x:v>PENDIENTE</x:v>
      </x:c>
    </x:row>
    <x:row r="21" ht="42" customHeight="1">
      <x:c r="A21" s="52" t="n">
        <x:v>11</x:v>
      </x:c>
      <x:c r="B21" s="52" t="str">
        <x:v>SELECCIÓN</x:v>
      </x:c>
      <x:c r="C21" s="52" t="str">
        <x:v>Observaciones y respuestas</x:v>
      </x:c>
      <x:c r="D21" s="52" t="str">
        <x:v>Por definir</x:v>
      </x:c>
      <x:c r="E21" s="52" t="str">
        <x:v>Pendiente</x:v>
      </x:c>
      <x:c r="F21" s="70" t="str"/>
      <x:c r="G21" s="52" t="str"/>
      <x:c r="H21" s="52" t="str"/>
      <x:c r="I21" s="52" t="str">
        <x:v>Pendiente</x:v>
      </x:c>
      <x:c r="J21" s="52" t="str">
        <x:v>Pendiente</x:v>
      </x:c>
      <x:c r="K21" s="52" t="str">
        <x:v>Pendiente</x:v>
      </x:c>
      <x:c r="L21" s="52" t="str"/>
      <x:c r="M21" s="52" t="str">
        <x:f>IF(F21="","",MAX(0,TODAY()-F21))</x:f>
      </x:c>
      <x:c r="N21" s="52" t="str">
        <x:f>IF(D21="No aplica","N.A.",IF(E21="Completo","OK",IF(M21&gt;30,"VENCIDO / ESCALAR","PENDIENTE")))</x:f>
        <x:v>PENDIENTE</x:v>
      </x:c>
    </x:row>
    <x:row r="22" ht="42" customHeight="1">
      <x:c r="A22" s="52" t="n">
        <x:v>12</x:v>
      </x:c>
      <x:c r="B22" s="52" t="str">
        <x:v>SELECCIÓN</x:v>
      </x:c>
      <x:c r="C22" s="52" t="str">
        <x:v>Pliego definitivo / Documentos Tipo</x:v>
      </x:c>
      <x:c r="D22" s="52" t="str">
        <x:v>Por definir</x:v>
      </x:c>
      <x:c r="E22" s="52" t="str">
        <x:v>Pendiente</x:v>
      </x:c>
      <x:c r="F22" s="70" t="str"/>
      <x:c r="G22" s="52" t="str"/>
      <x:c r="H22" s="52" t="str"/>
      <x:c r="I22" s="52" t="str">
        <x:v>Pendiente</x:v>
      </x:c>
      <x:c r="J22" s="52" t="str">
        <x:v>Pendiente</x:v>
      </x:c>
      <x:c r="K22" s="52" t="str">
        <x:v>Pendiente</x:v>
      </x:c>
      <x:c r="L22" s="52" t="str"/>
      <x:c r="M22" s="52" t="str">
        <x:f>IF(F22="","",MAX(0,TODAY()-F22))</x:f>
      </x:c>
      <x:c r="N22" s="52" t="str">
        <x:f>IF(D22="No aplica","N.A.",IF(E22="Completo","OK",IF(M22&gt;30,"VENCIDO / ESCALAR","PENDIENTE")))</x:f>
        <x:v>PENDIENTE</x:v>
      </x:c>
    </x:row>
    <x:row r="23" ht="42" customHeight="1">
      <x:c r="A23" s="52" t="n">
        <x:v>13</x:v>
      </x:c>
      <x:c r="B23" s="52" t="str">
        <x:v>SELECCIÓN</x:v>
      </x:c>
      <x:c r="C23" s="52" t="str">
        <x:v>Ofertas y anexos</x:v>
      </x:c>
      <x:c r="D23" s="52" t="str">
        <x:v>Por definir</x:v>
      </x:c>
      <x:c r="E23" s="52" t="str">
        <x:v>Pendiente</x:v>
      </x:c>
      <x:c r="F23" s="70" t="str"/>
      <x:c r="G23" s="52" t="str"/>
      <x:c r="H23" s="52" t="str"/>
      <x:c r="I23" s="52" t="str">
        <x:v>Pendiente</x:v>
      </x:c>
      <x:c r="J23" s="52" t="str">
        <x:v>Pendiente</x:v>
      </x:c>
      <x:c r="K23" s="52" t="str">
        <x:v>Pendiente</x:v>
      </x:c>
      <x:c r="L23" s="52" t="str"/>
      <x:c r="M23" s="52" t="str">
        <x:f>IF(F23="","",MAX(0,TODAY()-F23))</x:f>
      </x:c>
      <x:c r="N23" s="52" t="str">
        <x:f>IF(D23="No aplica","N.A.",IF(E23="Completo","OK",IF(M23&gt;30,"VENCIDO / ESCALAR","PENDIENTE")))</x:f>
        <x:v>PENDIENTE</x:v>
      </x:c>
    </x:row>
    <x:row r="24" ht="42" customHeight="1">
      <x:c r="A24" s="52" t="n">
        <x:v>14</x:v>
      </x:c>
      <x:c r="B24" s="52" t="str">
        <x:v>SELECCIÓN</x:v>
      </x:c>
      <x:c r="C24" s="52" t="str">
        <x:v>Apertura / cierre</x:v>
      </x:c>
      <x:c r="D24" s="52" t="str">
        <x:v>Por definir</x:v>
      </x:c>
      <x:c r="E24" s="52" t="str">
        <x:v>Pendiente</x:v>
      </x:c>
      <x:c r="F24" s="70" t="str"/>
      <x:c r="G24" s="52" t="str"/>
      <x:c r="H24" s="52" t="str"/>
      <x:c r="I24" s="52" t="str">
        <x:v>Pendiente</x:v>
      </x:c>
      <x:c r="J24" s="52" t="str">
        <x:v>Pendiente</x:v>
      </x:c>
      <x:c r="K24" s="52" t="str">
        <x:v>Pendiente</x:v>
      </x:c>
      <x:c r="L24" s="52" t="str"/>
      <x:c r="M24" s="52" t="str">
        <x:f>IF(F24="","",MAX(0,TODAY()-F24))</x:f>
      </x:c>
      <x:c r="N24" s="52" t="str">
        <x:f>IF(D24="No aplica","N.A.",IF(E24="Completo","OK",IF(M24&gt;30,"VENCIDO / ESCALAR","PENDIENTE")))</x:f>
        <x:v>PENDIENTE</x:v>
      </x:c>
    </x:row>
    <x:row r="25" ht="42" customHeight="1">
      <x:c r="A25" s="52" t="n">
        <x:v>15</x:v>
      </x:c>
      <x:c r="B25" s="52" t="str">
        <x:v>SELECCIÓN</x:v>
      </x:c>
      <x:c r="C25" s="52" t="str">
        <x:v>Evaluaciones y subsanaciones</x:v>
      </x:c>
      <x:c r="D25" s="52" t="str">
        <x:v>Por definir</x:v>
      </x:c>
      <x:c r="E25" s="52" t="str">
        <x:v>Pendiente</x:v>
      </x:c>
      <x:c r="F25" s="70" t="str"/>
      <x:c r="G25" s="52" t="str"/>
      <x:c r="H25" s="52" t="str"/>
      <x:c r="I25" s="52" t="str">
        <x:v>Pendiente</x:v>
      </x:c>
      <x:c r="J25" s="52" t="str">
        <x:v>Pendiente</x:v>
      </x:c>
      <x:c r="K25" s="52" t="str">
        <x:v>Pendiente</x:v>
      </x:c>
      <x:c r="L25" s="52" t="str"/>
      <x:c r="M25" s="52" t="str">
        <x:f>IF(F25="","",MAX(0,TODAY()-F25))</x:f>
      </x:c>
      <x:c r="N25" s="52" t="str">
        <x:f>IF(D25="No aplica","N.A.",IF(E25="Completo","OK",IF(M25&gt;30,"VENCIDO / ESCALAR","PENDIENTE")))</x:f>
        <x:v>PENDIENTE</x:v>
      </x:c>
    </x:row>
    <x:row r="26" ht="42" customHeight="1">
      <x:c r="A26" s="52" t="n">
        <x:v>16</x:v>
      </x:c>
      <x:c r="B26" s="52" t="str">
        <x:v>SELECCIÓN</x:v>
      </x:c>
      <x:c r="C26" s="52" t="str">
        <x:v>Informe final de evaluación</x:v>
      </x:c>
      <x:c r="D26" s="52" t="str">
        <x:v>Por definir</x:v>
      </x:c>
      <x:c r="E26" s="52" t="str">
        <x:v>Pendiente</x:v>
      </x:c>
      <x:c r="F26" s="70" t="str"/>
      <x:c r="G26" s="52" t="str"/>
      <x:c r="H26" s="52" t="str"/>
      <x:c r="I26" s="52" t="str">
        <x:v>Pendiente</x:v>
      </x:c>
      <x:c r="J26" s="52" t="str">
        <x:v>Pendiente</x:v>
      </x:c>
      <x:c r="K26" s="52" t="str">
        <x:v>Pendiente</x:v>
      </x:c>
      <x:c r="L26" s="52" t="str"/>
      <x:c r="M26" s="52" t="str">
        <x:f>IF(F26="","",MAX(0,TODAY()-F26))</x:f>
      </x:c>
      <x:c r="N26" s="52" t="str">
        <x:f>IF(D26="No aplica","N.A.",IF(E26="Completo","OK",IF(M26&gt;30,"VENCIDO / ESCALAR","PENDIENTE")))</x:f>
        <x:v>PENDIENTE</x:v>
      </x:c>
    </x:row>
    <x:row r="27" ht="42" customHeight="1">
      <x:c r="A27" s="52" t="n">
        <x:v>17</x:v>
      </x:c>
      <x:c r="B27" s="52" t="str">
        <x:v>SELECCIÓN</x:v>
      </x:c>
      <x:c r="C27" s="52" t="str">
        <x:v>Acto de adjudicación / aceptación / declaratoria desierta</x:v>
      </x:c>
      <x:c r="D27" s="52" t="str">
        <x:v>Por definir</x:v>
      </x:c>
      <x:c r="E27" s="52" t="str">
        <x:v>Pendiente</x:v>
      </x:c>
      <x:c r="F27" s="70" t="str"/>
      <x:c r="G27" s="52" t="str"/>
      <x:c r="H27" s="52" t="str"/>
      <x:c r="I27" s="52" t="str">
        <x:v>Pendiente</x:v>
      </x:c>
      <x:c r="J27" s="52" t="str">
        <x:v>Pendiente</x:v>
      </x:c>
      <x:c r="K27" s="52" t="str">
        <x:v>Pendiente</x:v>
      </x:c>
      <x:c r="L27" s="52" t="str"/>
      <x:c r="M27" s="52" t="str">
        <x:f>IF(F27="","",MAX(0,TODAY()-F27))</x:f>
      </x:c>
      <x:c r="N27" s="52" t="str">
        <x:f>IF(D27="No aplica","N.A.",IF(E27="Completo","OK",IF(M27&gt;30,"VENCIDO / ESCALAR","PENDIENTE")))</x:f>
        <x:v>PENDIENTE</x:v>
      </x:c>
    </x:row>
    <x:row r="28" ht="42" customHeight="1">
      <x:c r="A28" s="52" t="n">
        <x:v>18</x:v>
      </x:c>
      <x:c r="B28" s="52" t="str">
        <x:v>CONTRATO</x:v>
      </x:c>
      <x:c r="C28" s="52" t="str">
        <x:v>Minuta / contrato / comunicación de aceptación</x:v>
      </x:c>
      <x:c r="D28" s="52" t="str">
        <x:v>Por definir</x:v>
      </x:c>
      <x:c r="E28" s="52" t="str">
        <x:v>Pendiente</x:v>
      </x:c>
      <x:c r="F28" s="70" t="str"/>
      <x:c r="G28" s="52" t="str"/>
      <x:c r="H28" s="52" t="str"/>
      <x:c r="I28" s="52" t="str">
        <x:v>Pendiente</x:v>
      </x:c>
      <x:c r="J28" s="52" t="str">
        <x:v>Pendiente</x:v>
      </x:c>
      <x:c r="K28" s="52" t="str">
        <x:v>Pendiente</x:v>
      </x:c>
      <x:c r="L28" s="52" t="str"/>
      <x:c r="M28" s="52" t="str">
        <x:f>IF(F28="","",MAX(0,TODAY()-F28))</x:f>
      </x:c>
      <x:c r="N28" s="52" t="str">
        <x:f>IF(D28="No aplica","N.A.",IF(E28="Completo","OK",IF(M28&gt;30,"VENCIDO / ESCALAR","PENDIENTE")))</x:f>
        <x:v>PENDIENTE</x:v>
      </x:c>
    </x:row>
    <x:row r="29" ht="42" customHeight="1">
      <x:c r="A29" s="52" t="n">
        <x:v>19</x:v>
      </x:c>
      <x:c r="B29" s="52" t="str">
        <x:v>CONTRATO</x:v>
      </x:c>
      <x:c r="C29" s="52" t="str">
        <x:v>Documentos del contratista y verificación</x:v>
      </x:c>
      <x:c r="D29" s="52" t="str">
        <x:v>Por definir</x:v>
      </x:c>
      <x:c r="E29" s="52" t="str">
        <x:v>Pendiente</x:v>
      </x:c>
      <x:c r="F29" s="70" t="str"/>
      <x:c r="G29" s="52" t="str"/>
      <x:c r="H29" s="52" t="str"/>
      <x:c r="I29" s="52" t="str">
        <x:v>Pendiente</x:v>
      </x:c>
      <x:c r="J29" s="52" t="str">
        <x:v>Pendiente</x:v>
      </x:c>
      <x:c r="K29" s="52" t="str">
        <x:v>Pendiente</x:v>
      </x:c>
      <x:c r="L29" s="52" t="str"/>
      <x:c r="M29" s="52" t="str">
        <x:f>IF(F29="","",MAX(0,TODAY()-F29))</x:f>
      </x:c>
      <x:c r="N29" s="52" t="str">
        <x:f>IF(D29="No aplica","N.A.",IF(E29="Completo","OK",IF(M29&gt;30,"VENCIDO / ESCALAR","PENDIENTE")))</x:f>
        <x:v>PENDIENTE</x:v>
      </x:c>
    </x:row>
    <x:row r="30" ht="42" customHeight="1">
      <x:c r="A30" s="52" t="n">
        <x:v>20</x:v>
      </x:c>
      <x:c r="B30" s="52" t="str">
        <x:v>CONTRATO</x:v>
      </x:c>
      <x:c r="C30" s="52" t="str">
        <x:v>RP</x:v>
      </x:c>
      <x:c r="D30" s="52" t="str">
        <x:v>Por definir</x:v>
      </x:c>
      <x:c r="E30" s="52" t="str">
        <x:v>Pendiente</x:v>
      </x:c>
      <x:c r="F30" s="70" t="str"/>
      <x:c r="G30" s="52" t="str"/>
      <x:c r="H30" s="52" t="str"/>
      <x:c r="I30" s="52" t="str">
        <x:v>Pendiente</x:v>
      </x:c>
      <x:c r="J30" s="52" t="str">
        <x:v>Pendiente</x:v>
      </x:c>
      <x:c r="K30" s="52" t="str">
        <x:v>Pendiente</x:v>
      </x:c>
      <x:c r="L30" s="52" t="str"/>
      <x:c r="M30" s="52" t="str">
        <x:f>IF(F30="","",MAX(0,TODAY()-F30))</x:f>
      </x:c>
      <x:c r="N30" s="52" t="str">
        <x:f>IF(D30="No aplica","N.A.",IF(E30="Completo","OK",IF(M30&gt;30,"VENCIDO / ESCALAR","PENDIENTE")))</x:f>
        <x:v>PENDIENTE</x:v>
      </x:c>
    </x:row>
    <x:row r="31" ht="42" customHeight="1">
      <x:c r="A31" s="52" t="n">
        <x:v>21</x:v>
      </x:c>
      <x:c r="B31" s="52" t="str">
        <x:v>CONTRATO</x:v>
      </x:c>
      <x:c r="C31" s="52" t="str">
        <x:v>Garantía y aprobación</x:v>
      </x:c>
      <x:c r="D31" s="52" t="str">
        <x:v>Por definir</x:v>
      </x:c>
      <x:c r="E31" s="52" t="str">
        <x:v>Pendiente</x:v>
      </x:c>
      <x:c r="F31" s="70" t="str"/>
      <x:c r="G31" s="52" t="str"/>
      <x:c r="H31" s="52" t="str"/>
      <x:c r="I31" s="52" t="str">
        <x:v>Pendiente</x:v>
      </x:c>
      <x:c r="J31" s="52" t="str">
        <x:v>Pendiente</x:v>
      </x:c>
      <x:c r="K31" s="52" t="str">
        <x:v>Pendiente</x:v>
      </x:c>
      <x:c r="L31" s="52" t="str"/>
      <x:c r="M31" s="52" t="str">
        <x:f>IF(F31="","",MAX(0,TODAY()-F31))</x:f>
      </x:c>
      <x:c r="N31" s="52" t="str">
        <x:f>IF(D31="No aplica","N.A.",IF(E31="Completo","OK",IF(M31&gt;30,"VENCIDO / ESCALAR","PENDIENTE")))</x:f>
        <x:v>PENDIENTE</x:v>
      </x:c>
    </x:row>
    <x:row r="32" ht="42" customHeight="1">
      <x:c r="A32" s="52" t="n">
        <x:v>22</x:v>
      </x:c>
      <x:c r="B32" s="52" t="str">
        <x:v>CONTRATO</x:v>
      </x:c>
      <x:c r="C32" s="52" t="str">
        <x:v>Designación de supervisor/interventor</x:v>
      </x:c>
      <x:c r="D32" s="52" t="str">
        <x:v>Por definir</x:v>
      </x:c>
      <x:c r="E32" s="52" t="str">
        <x:v>Pendiente</x:v>
      </x:c>
      <x:c r="F32" s="70" t="str"/>
      <x:c r="G32" s="52" t="str"/>
      <x:c r="H32" s="52" t="str"/>
      <x:c r="I32" s="52" t="str">
        <x:v>Pendiente</x:v>
      </x:c>
      <x:c r="J32" s="52" t="str">
        <x:v>Pendiente</x:v>
      </x:c>
      <x:c r="K32" s="52" t="str">
        <x:v>Pendiente</x:v>
      </x:c>
      <x:c r="L32" s="52" t="str"/>
      <x:c r="M32" s="52" t="str">
        <x:f>IF(F32="","",MAX(0,TODAY()-F32))</x:f>
      </x:c>
      <x:c r="N32" s="52" t="str">
        <x:f>IF(D32="No aplica","N.A.",IF(E32="Completo","OK",IF(M32&gt;30,"VENCIDO / ESCALAR","PENDIENTE")))</x:f>
        <x:v>PENDIENTE</x:v>
      </x:c>
    </x:row>
    <x:row r="33" ht="42" customHeight="1">
      <x:c r="A33" s="52" t="n">
        <x:v>23</x:v>
      </x:c>
      <x:c r="B33" s="52" t="str">
        <x:v>CONTRATO</x:v>
      </x:c>
      <x:c r="C33" s="52" t="str">
        <x:v>Acta de inicio</x:v>
      </x:c>
      <x:c r="D33" s="52" t="str">
        <x:v>Por definir</x:v>
      </x:c>
      <x:c r="E33" s="52" t="str">
        <x:v>Pendiente</x:v>
      </x:c>
      <x:c r="F33" s="70" t="str"/>
      <x:c r="G33" s="52" t="str"/>
      <x:c r="H33" s="52" t="str"/>
      <x:c r="I33" s="52" t="str">
        <x:v>Pendiente</x:v>
      </x:c>
      <x:c r="J33" s="52" t="str">
        <x:v>Pendiente</x:v>
      </x:c>
      <x:c r="K33" s="52" t="str">
        <x:v>Pendiente</x:v>
      </x:c>
      <x:c r="L33" s="52" t="str"/>
      <x:c r="M33" s="52" t="str">
        <x:f>IF(F33="","",MAX(0,TODAY()-F33))</x:f>
      </x:c>
      <x:c r="N33" s="52" t="str">
        <x:f>IF(D33="No aplica","N.A.",IF(E33="Completo","OK",IF(M33&gt;30,"VENCIDO / ESCALAR","PENDIENTE")))</x:f>
        <x:v>PENDIENTE</x:v>
      </x:c>
    </x:row>
    <x:row r="34" ht="42" customHeight="1">
      <x:c r="A34" s="52" t="n">
        <x:v>24</x:v>
      </x:c>
      <x:c r="B34" s="52" t="str">
        <x:v>EJECUCIÓN</x:v>
      </x:c>
      <x:c r="C34" s="52" t="str">
        <x:v>Informes del contratista</x:v>
      </x:c>
      <x:c r="D34" s="52" t="str">
        <x:v>Por definir</x:v>
      </x:c>
      <x:c r="E34" s="52" t="str">
        <x:v>Pendiente</x:v>
      </x:c>
      <x:c r="F34" s="70" t="str"/>
      <x:c r="G34" s="52" t="str"/>
      <x:c r="H34" s="52" t="str"/>
      <x:c r="I34" s="52" t="str">
        <x:v>Pendiente</x:v>
      </x:c>
      <x:c r="J34" s="52" t="str">
        <x:v>Pendiente</x:v>
      </x:c>
      <x:c r="K34" s="52" t="str">
        <x:v>Pendiente</x:v>
      </x:c>
      <x:c r="L34" s="52" t="str"/>
      <x:c r="M34" s="52" t="str">
        <x:f>IF(F34="","",MAX(0,TODAY()-F34))</x:f>
      </x:c>
      <x:c r="N34" s="52" t="str">
        <x:f>IF(D34="No aplica","N.A.",IF(E34="Completo","OK",IF(M34&gt;30,"VENCIDO / ESCALAR","PENDIENTE")))</x:f>
        <x:v>PENDIENTE</x:v>
      </x:c>
    </x:row>
    <x:row r="35" ht="42" customHeight="1">
      <x:c r="A35" s="52" t="n">
        <x:v>25</x:v>
      </x:c>
      <x:c r="B35" s="52" t="str">
        <x:v>EJECUCIÓN</x:v>
      </x:c>
      <x:c r="C35" s="52" t="str">
        <x:v>Informes de supervisión/interventoría</x:v>
      </x:c>
      <x:c r="D35" s="52" t="str">
        <x:v>Por definir</x:v>
      </x:c>
      <x:c r="E35" s="52" t="str">
        <x:v>Pendiente</x:v>
      </x:c>
      <x:c r="F35" s="70" t="str"/>
      <x:c r="G35" s="52" t="str"/>
      <x:c r="H35" s="52" t="str"/>
      <x:c r="I35" s="52" t="str">
        <x:v>Pendiente</x:v>
      </x:c>
      <x:c r="J35" s="52" t="str">
        <x:v>Pendiente</x:v>
      </x:c>
      <x:c r="K35" s="52" t="str">
        <x:v>Pendiente</x:v>
      </x:c>
      <x:c r="L35" s="52" t="str"/>
      <x:c r="M35" s="52" t="str">
        <x:f>IF(F35="","",MAX(0,TODAY()-F35))</x:f>
      </x:c>
      <x:c r="N35" s="52" t="str">
        <x:f>IF(D35="No aplica","N.A.",IF(E35="Completo","OK",IF(M35&gt;30,"VENCIDO / ESCALAR","PENDIENTE")))</x:f>
        <x:v>PENDIENTE</x:v>
      </x:c>
    </x:row>
    <x:row r="36" ht="42" customHeight="1">
      <x:c r="A36" s="52" t="n">
        <x:v>26</x:v>
      </x:c>
      <x:c r="B36" s="52" t="str">
        <x:v>EJECUCIÓN</x:v>
      </x:c>
      <x:c r="C36" s="52" t="str">
        <x:v>Actas parciales / recibo / comités</x:v>
      </x:c>
      <x:c r="D36" s="52" t="str">
        <x:v>Por definir</x:v>
      </x:c>
      <x:c r="E36" s="52" t="str">
        <x:v>Pendiente</x:v>
      </x:c>
      <x:c r="F36" s="70" t="str"/>
      <x:c r="G36" s="52" t="str"/>
      <x:c r="H36" s="52" t="str"/>
      <x:c r="I36" s="52" t="str">
        <x:v>Pendiente</x:v>
      </x:c>
      <x:c r="J36" s="52" t="str">
        <x:v>Pendiente</x:v>
      </x:c>
      <x:c r="K36" s="52" t="str">
        <x:v>Pendiente</x:v>
      </x:c>
      <x:c r="L36" s="52" t="str"/>
      <x:c r="M36" s="52" t="str">
        <x:f>IF(F36="","",MAX(0,TODAY()-F36))</x:f>
      </x:c>
      <x:c r="N36" s="52" t="str">
        <x:f>IF(D36="No aplica","N.A.",IF(E36="Completo","OK",IF(M36&gt;30,"VENCIDO / ESCALAR","PENDIENTE")))</x:f>
        <x:v>PENDIENTE</x:v>
      </x:c>
    </x:row>
    <x:row r="37" ht="42" customHeight="1">
      <x:c r="A37" s="52" t="n">
        <x:v>27</x:v>
      </x:c>
      <x:c r="B37" s="52" t="str">
        <x:v>EJECUCIÓN</x:v>
      </x:c>
      <x:c r="C37" s="52" t="str">
        <x:v>Facturas, cuentas de cobro y pagos</x:v>
      </x:c>
      <x:c r="D37" s="52" t="str">
        <x:v>Por definir</x:v>
      </x:c>
      <x:c r="E37" s="52" t="str">
        <x:v>Pendiente</x:v>
      </x:c>
      <x:c r="F37" s="70" t="str"/>
      <x:c r="G37" s="52" t="str"/>
      <x:c r="H37" s="52" t="str"/>
      <x:c r="I37" s="52" t="str">
        <x:v>Pendiente</x:v>
      </x:c>
      <x:c r="J37" s="52" t="str">
        <x:v>Pendiente</x:v>
      </x:c>
      <x:c r="K37" s="52" t="str">
        <x:v>Pendiente</x:v>
      </x:c>
      <x:c r="L37" s="52" t="str"/>
      <x:c r="M37" s="52" t="str">
        <x:f>IF(F37="","",MAX(0,TODAY()-F37))</x:f>
      </x:c>
      <x:c r="N37" s="52" t="str">
        <x:f>IF(D37="No aplica","N.A.",IF(E37="Completo","OK",IF(M37&gt;30,"VENCIDO / ESCALAR","PENDIENTE")))</x:f>
        <x:v>PENDIENTE</x:v>
      </x:c>
    </x:row>
    <x:row r="38" ht="42" customHeight="1">
      <x:c r="A38" s="52" t="n">
        <x:v>28</x:v>
      </x:c>
      <x:c r="B38" s="52" t="str">
        <x:v>EJECUCIÓN</x:v>
      </x:c>
      <x:c r="C38" s="52" t="str">
        <x:v>Seguridad social y parafiscales</x:v>
      </x:c>
      <x:c r="D38" s="52" t="str">
        <x:v>Por definir</x:v>
      </x:c>
      <x:c r="E38" s="52" t="str">
        <x:v>Pendiente</x:v>
      </x:c>
      <x:c r="F38" s="70" t="str"/>
      <x:c r="G38" s="52" t="str"/>
      <x:c r="H38" s="52" t="str"/>
      <x:c r="I38" s="52" t="str">
        <x:v>Pendiente</x:v>
      </x:c>
      <x:c r="J38" s="52" t="str">
        <x:v>Pendiente</x:v>
      </x:c>
      <x:c r="K38" s="52" t="str">
        <x:v>Pendiente</x:v>
      </x:c>
      <x:c r="L38" s="52" t="str"/>
      <x:c r="M38" s="52" t="str">
        <x:f>IF(F38="","",MAX(0,TODAY()-F38))</x:f>
      </x:c>
      <x:c r="N38" s="52" t="str">
        <x:f>IF(D38="No aplica","N.A.",IF(E38="Completo","OK",IF(M38&gt;30,"VENCIDO / ESCALAR","PENDIENTE")))</x:f>
        <x:v>PENDIENTE</x:v>
      </x:c>
    </x:row>
    <x:row r="39" ht="42" customHeight="1">
      <x:c r="A39" s="52" t="n">
        <x:v>29</x:v>
      </x:c>
      <x:c r="B39" s="52" t="str">
        <x:v>EJECUCIÓN</x:v>
      </x:c>
      <x:c r="C39" s="52" t="str">
        <x:v>Modificaciones, adiciones y prórrogas</x:v>
      </x:c>
      <x:c r="D39" s="52" t="str">
        <x:v>Por definir</x:v>
      </x:c>
      <x:c r="E39" s="52" t="str">
        <x:v>Pendiente</x:v>
      </x:c>
      <x:c r="F39" s="70" t="str"/>
      <x:c r="G39" s="52" t="str"/>
      <x:c r="H39" s="52" t="str"/>
      <x:c r="I39" s="52" t="str">
        <x:v>Pendiente</x:v>
      </x:c>
      <x:c r="J39" s="52" t="str">
        <x:v>Pendiente</x:v>
      </x:c>
      <x:c r="K39" s="52" t="str">
        <x:v>Pendiente</x:v>
      </x:c>
      <x:c r="L39" s="52" t="str"/>
      <x:c r="M39" s="52" t="str">
        <x:f>IF(F39="","",MAX(0,TODAY()-F39))</x:f>
      </x:c>
      <x:c r="N39" s="52" t="str">
        <x:f>IF(D39="No aplica","N.A.",IF(E39="Completo","OK",IF(M39&gt;30,"VENCIDO / ESCALAR","PENDIENTE")))</x:f>
        <x:v>PENDIENTE</x:v>
      </x:c>
    </x:row>
    <x:row r="40" ht="42" customHeight="1">
      <x:c r="A40" s="52" t="n">
        <x:v>30</x:v>
      </x:c>
      <x:c r="B40" s="52" t="str">
        <x:v>EJECUCIÓN</x:v>
      </x:c>
      <x:c r="C40" s="52" t="str">
        <x:v>Suspensiones y reinicios</x:v>
      </x:c>
      <x:c r="D40" s="52" t="str">
        <x:v>Por definir</x:v>
      </x:c>
      <x:c r="E40" s="52" t="str">
        <x:v>Pendiente</x:v>
      </x:c>
      <x:c r="F40" s="70" t="str"/>
      <x:c r="G40" s="52" t="str"/>
      <x:c r="H40" s="52" t="str"/>
      <x:c r="I40" s="52" t="str">
        <x:v>Pendiente</x:v>
      </x:c>
      <x:c r="J40" s="52" t="str">
        <x:v>Pendiente</x:v>
      </x:c>
      <x:c r="K40" s="52" t="str">
        <x:v>Pendiente</x:v>
      </x:c>
      <x:c r="L40" s="52" t="str"/>
      <x:c r="M40" s="52" t="str">
        <x:f>IF(F40="","",MAX(0,TODAY()-F40))</x:f>
      </x:c>
      <x:c r="N40" s="52" t="str">
        <x:f>IF(D40="No aplica","N.A.",IF(E40="Completo","OK",IF(M40&gt;30,"VENCIDO / ESCALAR","PENDIENTE")))</x:f>
        <x:v>PENDIENTE</x:v>
      </x:c>
    </x:row>
    <x:row r="41" ht="42" customHeight="1">
      <x:c r="A41" s="52" t="n">
        <x:v>31</x:v>
      </x:c>
      <x:c r="B41" s="52" t="str">
        <x:v>EJECUCIÓN</x:v>
      </x:c>
      <x:c r="C41" s="52" t="str">
        <x:v>Garantías actualizadas</x:v>
      </x:c>
      <x:c r="D41" s="52" t="str">
        <x:v>Por definir</x:v>
      </x:c>
      <x:c r="E41" s="52" t="str">
        <x:v>Pendiente</x:v>
      </x:c>
      <x:c r="F41" s="70" t="str"/>
      <x:c r="G41" s="52" t="str"/>
      <x:c r="H41" s="52" t="str"/>
      <x:c r="I41" s="52" t="str">
        <x:v>Pendiente</x:v>
      </x:c>
      <x:c r="J41" s="52" t="str">
        <x:v>Pendiente</x:v>
      </x:c>
      <x:c r="K41" s="52" t="str">
        <x:v>Pendiente</x:v>
      </x:c>
      <x:c r="L41" s="52" t="str"/>
      <x:c r="M41" s="52" t="str">
        <x:f>IF(F41="","",MAX(0,TODAY()-F41))</x:f>
      </x:c>
      <x:c r="N41" s="52" t="str">
        <x:f>IF(D41="No aplica","N.A.",IF(E41="Completo","OK",IF(M41&gt;30,"VENCIDO / ESCALAR","PENDIENTE")))</x:f>
        <x:v>PENDIENTE</x:v>
      </x:c>
    </x:row>
    <x:row r="42" ht="42" customHeight="1">
      <x:c r="A42" s="52" t="n">
        <x:v>32</x:v>
      </x:c>
      <x:c r="B42" s="52" t="str">
        <x:v>EJECUCIÓN</x:v>
      </x:c>
      <x:c r="C42" s="52" t="str">
        <x:v>Incumplimientos, multas o sanciones</x:v>
      </x:c>
      <x:c r="D42" s="52" t="str">
        <x:v>Por definir</x:v>
      </x:c>
      <x:c r="E42" s="52" t="str">
        <x:v>Pendiente</x:v>
      </x:c>
      <x:c r="F42" s="70" t="str"/>
      <x:c r="G42" s="52" t="str"/>
      <x:c r="H42" s="52" t="str"/>
      <x:c r="I42" s="52" t="str">
        <x:v>Pendiente</x:v>
      </x:c>
      <x:c r="J42" s="52" t="str">
        <x:v>Pendiente</x:v>
      </x:c>
      <x:c r="K42" s="52" t="str">
        <x:v>Pendiente</x:v>
      </x:c>
      <x:c r="L42" s="52" t="str"/>
      <x:c r="M42" s="52" t="str">
        <x:f>IF(F42="","",MAX(0,TODAY()-F42))</x:f>
      </x:c>
      <x:c r="N42" s="52" t="str">
        <x:f>IF(D42="No aplica","N.A.",IF(E42="Completo","OK",IF(M42&gt;30,"VENCIDO / ESCALAR","PENDIENTE")))</x:f>
        <x:v>PENDIENTE</x:v>
      </x:c>
    </x:row>
    <x:row r="43" ht="42" customHeight="1">
      <x:c r="A43" s="52" t="n">
        <x:v>33</x:v>
      </x:c>
      <x:c r="B43" s="52" t="str">
        <x:v>EJECUCIÓN</x:v>
      </x:c>
      <x:c r="C43" s="52" t="str">
        <x:v>Publicaciones SECOP</x:v>
      </x:c>
      <x:c r="D43" s="52" t="str">
        <x:v>Por definir</x:v>
      </x:c>
      <x:c r="E43" s="52" t="str">
        <x:v>Pendiente</x:v>
      </x:c>
      <x:c r="F43" s="70" t="str"/>
      <x:c r="G43" s="52" t="str"/>
      <x:c r="H43" s="52" t="str"/>
      <x:c r="I43" s="52" t="str">
        <x:v>Pendiente</x:v>
      </x:c>
      <x:c r="J43" s="52" t="str">
        <x:v>Pendiente</x:v>
      </x:c>
      <x:c r="K43" s="52" t="str">
        <x:v>Pendiente</x:v>
      </x:c>
      <x:c r="L43" s="52" t="str"/>
      <x:c r="M43" s="52" t="str">
        <x:f>IF(F43="","",MAX(0,TODAY()-F43))</x:f>
      </x:c>
      <x:c r="N43" s="52" t="str">
        <x:f>IF(D43="No aplica","N.A.",IF(E43="Completo","OK",IF(M43&gt;30,"VENCIDO / ESCALAR","PENDIENTE")))</x:f>
        <x:v>PENDIENTE</x:v>
      </x:c>
    </x:row>
    <x:row r="44" ht="42" customHeight="1">
      <x:c r="A44" s="52" t="n">
        <x:v>34</x:v>
      </x:c>
      <x:c r="B44" s="52" t="str">
        <x:v>CIERRE</x:v>
      </x:c>
      <x:c r="C44" s="52" t="str">
        <x:v>Acta de terminación y recibo final</x:v>
      </x:c>
      <x:c r="D44" s="52" t="str">
        <x:v>Por definir</x:v>
      </x:c>
      <x:c r="E44" s="52" t="str">
        <x:v>Pendiente</x:v>
      </x:c>
      <x:c r="F44" s="70" t="str"/>
      <x:c r="G44" s="52" t="str"/>
      <x:c r="H44" s="52" t="str"/>
      <x:c r="I44" s="52" t="str">
        <x:v>Pendiente</x:v>
      </x:c>
      <x:c r="J44" s="52" t="str">
        <x:v>Pendiente</x:v>
      </x:c>
      <x:c r="K44" s="52" t="str">
        <x:v>Pendiente</x:v>
      </x:c>
      <x:c r="L44" s="52" t="str"/>
      <x:c r="M44" s="52" t="str">
        <x:f>IF(F44="","",MAX(0,TODAY()-F44))</x:f>
      </x:c>
      <x:c r="N44" s="52" t="str">
        <x:f>IF(D44="No aplica","N.A.",IF(E44="Completo","OK",IF(M44&gt;30,"VENCIDO / ESCALAR","PENDIENTE")))</x:f>
        <x:v>PENDIENTE</x:v>
      </x:c>
    </x:row>
    <x:row r="45" ht="42" customHeight="1">
      <x:c r="A45" s="52" t="n">
        <x:v>35</x:v>
      </x:c>
      <x:c r="B45" s="52" t="str">
        <x:v>CIERRE</x:v>
      </x:c>
      <x:c r="C45" s="52" t="str">
        <x:v>Informe final de supervisión/interventoría</x:v>
      </x:c>
      <x:c r="D45" s="52" t="str">
        <x:v>Por definir</x:v>
      </x:c>
      <x:c r="E45" s="52" t="str">
        <x:v>Pendiente</x:v>
      </x:c>
      <x:c r="F45" s="70" t="str"/>
      <x:c r="G45" s="52" t="str"/>
      <x:c r="H45" s="52" t="str"/>
      <x:c r="I45" s="52" t="str">
        <x:v>Pendiente</x:v>
      </x:c>
      <x:c r="J45" s="52" t="str">
        <x:v>Pendiente</x:v>
      </x:c>
      <x:c r="K45" s="52" t="str">
        <x:v>Pendiente</x:v>
      </x:c>
      <x:c r="L45" s="52" t="str"/>
      <x:c r="M45" s="52" t="str">
        <x:f>IF(F45="","",MAX(0,TODAY()-F45))</x:f>
      </x:c>
      <x:c r="N45" s="52" t="str">
        <x:f>IF(D45="No aplica","N.A.",IF(E45="Completo","OK",IF(M45&gt;30,"VENCIDO / ESCALAR","PENDIENTE")))</x:f>
        <x:v>PENDIENTE</x:v>
      </x:c>
    </x:row>
    <x:row r="46" ht="42" customHeight="1">
      <x:c r="A46" s="52" t="n">
        <x:v>36</x:v>
      </x:c>
      <x:c r="B46" s="52" t="str">
        <x:v>CIERRE</x:v>
      </x:c>
      <x:c r="C46" s="52" t="str">
        <x:v>Balance financiero</x:v>
      </x:c>
      <x:c r="D46" s="52" t="str">
        <x:v>Por definir</x:v>
      </x:c>
      <x:c r="E46" s="52" t="str">
        <x:v>Pendiente</x:v>
      </x:c>
      <x:c r="F46" s="70" t="str"/>
      <x:c r="G46" s="52" t="str"/>
      <x:c r="H46" s="52" t="str"/>
      <x:c r="I46" s="52" t="str">
        <x:v>Pendiente</x:v>
      </x:c>
      <x:c r="J46" s="52" t="str">
        <x:v>Pendiente</x:v>
      </x:c>
      <x:c r="K46" s="52" t="str">
        <x:v>Pendiente</x:v>
      </x:c>
      <x:c r="L46" s="52" t="str"/>
      <x:c r="M46" s="52" t="str">
        <x:f>IF(F46="","",MAX(0,TODAY()-F46))</x:f>
      </x:c>
      <x:c r="N46" s="52" t="str">
        <x:f>IF(D46="No aplica","N.A.",IF(E46="Completo","OK",IF(M46&gt;30,"VENCIDO / ESCALAR","PENDIENTE")))</x:f>
        <x:v>PENDIENTE</x:v>
      </x:c>
    </x:row>
    <x:row r="47" ht="42" customHeight="1">
      <x:c r="A47" s="52" t="n">
        <x:v>37</x:v>
      </x:c>
      <x:c r="B47" s="52" t="str">
        <x:v>CIERRE</x:v>
      </x:c>
      <x:c r="C47" s="52" t="str">
        <x:v>Acta de liquidación o constancia de no requerirla</x:v>
      </x:c>
      <x:c r="D47" s="52" t="str">
        <x:v>Por definir</x:v>
      </x:c>
      <x:c r="E47" s="52" t="str">
        <x:v>Pendiente</x:v>
      </x:c>
      <x:c r="F47" s="70" t="str"/>
      <x:c r="G47" s="52" t="str"/>
      <x:c r="H47" s="52" t="str"/>
      <x:c r="I47" s="52" t="str">
        <x:v>Pendiente</x:v>
      </x:c>
      <x:c r="J47" s="52" t="str">
        <x:v>Pendiente</x:v>
      </x:c>
      <x:c r="K47" s="52" t="str">
        <x:v>Pendiente</x:v>
      </x:c>
      <x:c r="L47" s="52" t="str"/>
      <x:c r="M47" s="52" t="str">
        <x:f>IF(F47="","",MAX(0,TODAY()-F47))</x:f>
      </x:c>
      <x:c r="N47" s="52" t="str">
        <x:f>IF(D47="No aplica","N.A.",IF(E47="Completo","OK",IF(M47&gt;30,"VENCIDO / ESCALAR","PENDIENTE")))</x:f>
        <x:v>PENDIENTE</x:v>
      </x:c>
    </x:row>
    <x:row r="48" ht="42" customHeight="1">
      <x:c r="A48" s="52" t="n">
        <x:v>38</x:v>
      </x:c>
      <x:c r="B48" s="52" t="str">
        <x:v>CIERRE</x:v>
      </x:c>
      <x:c r="C48" s="52" t="str">
        <x:v>Garantías poscontractuales</x:v>
      </x:c>
      <x:c r="D48" s="52" t="str">
        <x:v>Por definir</x:v>
      </x:c>
      <x:c r="E48" s="52" t="str">
        <x:v>Pendiente</x:v>
      </x:c>
      <x:c r="F48" s="70" t="str"/>
      <x:c r="G48" s="52" t="str"/>
      <x:c r="H48" s="52" t="str"/>
      <x:c r="I48" s="52" t="str">
        <x:v>Pendiente</x:v>
      </x:c>
      <x:c r="J48" s="52" t="str">
        <x:v>Pendiente</x:v>
      </x:c>
      <x:c r="K48" s="52" t="str">
        <x:v>Pendiente</x:v>
      </x:c>
      <x:c r="L48" s="52" t="str"/>
      <x:c r="M48" s="52" t="str">
        <x:f>IF(F48="","",MAX(0,TODAY()-F48))</x:f>
      </x:c>
      <x:c r="N48" s="52" t="str">
        <x:f>IF(D48="No aplica","N.A.",IF(E48="Completo","OK",IF(M48&gt;30,"VENCIDO / ESCALAR","PENDIENTE")))</x:f>
        <x:v>PENDIENTE</x:v>
      </x:c>
    </x:row>
    <x:row r="49" ht="42" customHeight="1">
      <x:c r="A49" s="52" t="n">
        <x:v>39</x:v>
      </x:c>
      <x:c r="B49" s="52" t="str">
        <x:v>CIERRE</x:v>
      </x:c>
      <x:c r="C49" s="52" t="str">
        <x:v>Paz y salvos / devolución de bienes / inventarios</x:v>
      </x:c>
      <x:c r="D49" s="52" t="str">
        <x:v>Por definir</x:v>
      </x:c>
      <x:c r="E49" s="52" t="str">
        <x:v>Pendiente</x:v>
      </x:c>
      <x:c r="F49" s="70" t="str"/>
      <x:c r="G49" s="52" t="str"/>
      <x:c r="H49" s="52" t="str"/>
      <x:c r="I49" s="52" t="str">
        <x:v>Pendiente</x:v>
      </x:c>
      <x:c r="J49" s="52" t="str">
        <x:v>Pendiente</x:v>
      </x:c>
      <x:c r="K49" s="52" t="str">
        <x:v>Pendiente</x:v>
      </x:c>
      <x:c r="L49" s="52" t="str"/>
      <x:c r="M49" s="52" t="str">
        <x:f>IF(F49="","",MAX(0,TODAY()-F49))</x:f>
      </x:c>
      <x:c r="N49" s="52" t="str">
        <x:f>IF(D49="No aplica","N.A.",IF(E49="Completo","OK",IF(M49&gt;30,"VENCIDO / ESCALAR","PENDIENTE")))</x:f>
        <x:v>PENDIENTE</x:v>
      </x:c>
    </x:row>
    <x:row r="50" ht="42" customHeight="1">
      <x:c r="A50" s="52" t="n">
        <x:v>40</x:v>
      </x:c>
      <x:c r="B50" s="52" t="str">
        <x:v>CIERRE</x:v>
      </x:c>
      <x:c r="C50" s="52" t="str">
        <x:v>Índice electrónico y cierre del expediente</x:v>
      </x:c>
      <x:c r="D50" s="52" t="str">
        <x:v>Por definir</x:v>
      </x:c>
      <x:c r="E50" s="52" t="str">
        <x:v>Pendiente</x:v>
      </x:c>
      <x:c r="F50" s="70" t="str"/>
      <x:c r="G50" s="52" t="str"/>
      <x:c r="H50" s="52" t="str"/>
      <x:c r="I50" s="52" t="str">
        <x:v>Pendiente</x:v>
      </x:c>
      <x:c r="J50" s="52" t="str">
        <x:v>Pendiente</x:v>
      </x:c>
      <x:c r="K50" s="52" t="str">
        <x:v>Pendiente</x:v>
      </x:c>
      <x:c r="L50" s="52" t="str"/>
      <x:c r="M50" s="52" t="str">
        <x:f>IF(F50="","",MAX(0,TODAY()-F50))</x:f>
      </x:c>
      <x:c r="N50" s="52" t="str">
        <x:f>IF(D50="No aplica","N.A.",IF(E50="Completo","OK",IF(M50&gt;30,"VENCIDO / ESCALAR","PENDIENTE")))</x:f>
        <x:v>PENDIENTE</x:v>
      </x:c>
    </x:row>
    <x:row r="51" ht="42" customHeight="1">
      <x:c r="A51" s="52" t="n">
        <x:v>41</x:v>
      </x:c>
      <x:c r="B51" s="52" t="str">
        <x:v>CIERRE</x:v>
      </x:c>
      <x:c r="C51" s="52" t="str">
        <x:v>Transferencia documental según TRD</x:v>
      </x:c>
      <x:c r="D51" s="52" t="str">
        <x:v>Por definir</x:v>
      </x:c>
      <x:c r="E51" s="52" t="str">
        <x:v>Pendiente</x:v>
      </x:c>
      <x:c r="F51" s="70" t="str"/>
      <x:c r="G51" s="52" t="str"/>
      <x:c r="H51" s="52" t="str"/>
      <x:c r="I51" s="52" t="str">
        <x:v>Pendiente</x:v>
      </x:c>
      <x:c r="J51" s="52" t="str">
        <x:v>Pendiente</x:v>
      </x:c>
      <x:c r="K51" s="52" t="str">
        <x:v>Pendiente</x:v>
      </x:c>
      <x:c r="L51" s="52" t="str"/>
      <x:c r="M51" s="52" t="str">
        <x:f>IF(F51="","",MAX(0,TODAY()-F51))</x:f>
      </x:c>
      <x:c r="N51" s="52" t="str">
        <x:f>IF(D51="No aplica","N.A.",IF(E51="Completo","OK",IF(M51&gt;30,"VENCIDO / ESCALAR","PENDIENTE")))</x:f>
        <x:v>PENDIENTE</x:v>
      </x:c>
    </x:row>
  </x:sheetData>
  <x:mergeCells>
    <x:mergeCell ref="A1:N1"/>
    <x:mergeCell ref="D3:N3"/>
    <x:mergeCell ref="D4:F6"/>
    <x:mergeCell ref="G4:I6"/>
    <x:mergeCell ref="J4:N6"/>
    <x:mergeCell ref="D7:F7"/>
    <x:mergeCell ref="G7:I7"/>
    <x:mergeCell ref="J7:N7"/>
  </x:mergeCells>
  <x:conditionalFormatting sqref="N11:N51">
    <x:cfRule type="expression" dxfId="9" priority="1">
      <x:formula>N11="OK"</x:formula>
    </x:cfRule>
    <x:cfRule type="expression" dxfId="10" priority="2">
      <x:formula>ISNUMBER(SEARCH("VENCIDO",N11))</x:formula>
    </x:cfRule>
    <x:cfRule type="expression" dxfId="11" priority="3">
      <x:formula>N11="PENDIENTE"</x:formula>
    </x:cfRule>
  </x:conditionalFormatting>
  <x:dataValidations count="3">
    <x:dataValidation type="list" sqref="D11:D51">
      <x:formula1>"Por definir,Sí,No aplica"</x:formula1>
    </x:dataValidation>
    <x:dataValidation type="list" sqref="E11:E51">
      <x:formula1>"Pendiente,En revisión,Completo,No conforme,No aplica"</x:formula1>
    </x:dataValidation>
    <x:dataValidation type="list" sqref="I11:K51">
      <x:formula1>"Pendiente,Conforme,No conforme,No aplica"</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31" hidden="0" customWidth="1"/>
    <x:col min="3" max="3" width="45" hidden="0" customWidth="1"/>
    <x:col min="4" max="4" width="58" hidden="0" customWidth="1"/>
    <x:col min="5" max="5" width="34" hidden="0" customWidth="1"/>
    <x:col min="6" max="6" width="26" hidden="0" customWidth="1"/>
    <x:col min="7" max="7" width="22" hidden="0" customWidth="1"/>
    <x:col min="8" max="8" width="12" hidden="0" customWidth="1"/>
    <x:col min="9" max="9" width="18" hidden="0" customWidth="1"/>
    <x:col min="10" max="10" width="12" hidden="0" customWidth="1"/>
    <x:col min="11" max="11" width="36" hidden="0" customWidth="1"/>
    <x:col min="12" max="12" width="42" hidden="0" customWidth="1"/>
    <x:col min="13" max="13" width="28" hidden="0" customWidth="1"/>
    <x:col min="14" max="14" width="42" hidden="0" customWidth="1"/>
  </x:cols>
  <x:sheetData>
    <x:row r="1">
      <x:c r="A1" s="6" t="str">
        <x:v>DISEÑO DEL APLICATIVO INSTITUCIONAL DE CALIDAD Y GESTIÓN DOCUMENTAL AUTOMÁTICA</x:v>
      </x:c>
      <x:c r="B1" s="6"/>
      <x:c r="C1" s="6"/>
      <x:c r="D1" s="6"/>
      <x:c r="E1" s="6"/>
      <x:c r="F1" s="6"/>
      <x:c r="G1" s="6"/>
      <x:c r="H1" s="6"/>
      <x:c r="I1" s="6"/>
      <x:c r="J1" s="6"/>
      <x:c r="K1" s="6"/>
      <x:c r="L1" s="6"/>
      <x:c r="M1" s="6"/>
      <x:c r="N1" s="6"/>
    </x:row>
    <x:row r="2">
      <x:c r="A2" s="45" t="str">
        <x:v>Proyecto en fase de diseño funcional. El aplicativo deberá reducir reprocesos sin reemplazar el juicio jurídico, técnico, financiero, de supervisión o archivístico. Toda automatización debe conservar revisión humana, evidencia, trazabilidad, segregación de funciones y posibilidad de bloquear la generación cuando falten requisitos.</x:v>
      </x:c>
      <x:c r="B2" s="45"/>
      <x:c r="C2" s="45"/>
      <x:c r="D2" s="45"/>
      <x:c r="E2" s="45"/>
      <x:c r="F2" s="45"/>
      <x:c r="G2" s="45"/>
      <x:c r="H2" s="45"/>
      <x:c r="I2" s="45"/>
      <x:c r="J2" s="45"/>
      <x:c r="K2" s="45"/>
      <x:c r="L2" s="45"/>
      <x:c r="M2" s="45"/>
      <x:c r="N2" s="45"/>
    </x:row>
    <x:row r="3">
      <x:c r="A3" s="45"/>
      <x:c r="B3" s="45"/>
      <x:c r="C3" s="45"/>
      <x:c r="D3" s="45"/>
      <x:c r="E3" s="45"/>
      <x:c r="F3" s="45"/>
      <x:c r="G3" s="45"/>
      <x:c r="H3" s="45"/>
      <x:c r="I3" s="45"/>
      <x:c r="J3" s="45"/>
      <x:c r="K3" s="45"/>
      <x:c r="L3" s="45"/>
      <x:c r="M3" s="45"/>
      <x:c r="N3" s="45"/>
    </x:row>
    <x:row r="4">
      <x:c r="A4" s="45"/>
      <x:c r="B4" s="45"/>
      <x:c r="C4" s="45"/>
      <x:c r="D4" s="45"/>
      <x:c r="E4" s="45"/>
      <x:c r="F4" s="45"/>
      <x:c r="G4" s="45"/>
      <x:c r="H4" s="45"/>
      <x:c r="I4" s="45"/>
      <x:c r="J4" s="45"/>
      <x:c r="K4" s="45"/>
      <x:c r="L4" s="45"/>
      <x:c r="M4" s="45"/>
      <x:c r="N4" s="45"/>
    </x:row>
    <x:row r="5">
      <x:c r="A5" s="45"/>
      <x:c r="B5" s="45"/>
      <x:c r="C5" s="45"/>
      <x:c r="D5" s="45"/>
      <x:c r="E5" s="45"/>
      <x:c r="F5" s="45"/>
      <x:c r="G5" s="45"/>
      <x:c r="H5" s="45"/>
      <x:c r="I5" s="45"/>
      <x:c r="J5" s="45"/>
      <x:c r="K5" s="45"/>
      <x:c r="L5" s="45"/>
      <x:c r="M5" s="45"/>
      <x:c r="N5" s="45"/>
    </x:row>
    <x:row r="7" ht="48" customHeight="1">
      <x:c r="A7" s="25" t="str">
        <x:v>ID</x:v>
      </x:c>
      <x:c r="B7" s="25" t="str">
        <x:v>Módulo / componente</x:v>
      </x:c>
      <x:c r="C7" s="25" t="str">
        <x:v>Objetivo</x:v>
      </x:c>
      <x:c r="D7" s="25" t="str">
        <x:v>Funciones mínimas</x:v>
      </x:c>
      <x:c r="E7" s="25" t="str">
        <x:v>Salida / evidencia</x:v>
      </x:c>
      <x:c r="F7" s="25" t="str">
        <x:v>Responsable funcional</x:v>
      </x:c>
      <x:c r="G7" s="25" t="str">
        <x:v>Responsable técnico</x:v>
      </x:c>
      <x:c r="H7" s="25" t="str">
        <x:v>Prioridad</x:v>
      </x:c>
      <x:c r="I7" s="25" t="str">
        <x:v>Estado</x:v>
      </x:c>
      <x:c r="J7" s="25" t="str">
        <x:v>% avance</x:v>
      </x:c>
      <x:c r="K7" s="25" t="str">
        <x:v>Dependencias</x:v>
      </x:c>
      <x:c r="L7" s="25" t="str">
        <x:v>Criterio de aceptación</x:v>
      </x:c>
      <x:c r="M7" s="25" t="str">
        <x:v>Indicador</x:v>
      </x:c>
      <x:c r="N7" s="25" t="str">
        <x:v>Observaciones</x:v>
      </x:c>
    </x:row>
    <x:row r="8" ht="78" customHeight="1">
      <x:c r="A8" s="52" t="str">
        <x:v>APP-01</x:v>
      </x:c>
      <x:c r="B8" s="52" t="str">
        <x:v>Gobierno, usuarios y roles</x:v>
      </x:c>
      <x:c r="C8" s="52" t="str">
        <x:v>Administrar acceso y segregación de funciones.</x:v>
      </x:c>
      <x:c r="D8" s="52" t="str">
        <x:v>Roles por dependencia; MFA; permisos; sustituciones; bloqueo; sesiones.</x:v>
      </x:c>
      <x:c r="E8" s="52" t="str">
        <x:v>Matriz de acceso y logs</x:v>
      </x:c>
      <x:c r="F8" s="52" t="str">
        <x:v>Calidad / Jurídica / Archivo</x:v>
      </x:c>
      <x:c r="G8" s="52" t="str">
        <x:v>TIC</x:v>
      </x:c>
      <x:c r="H8" s="52" t="str">
        <x:v>Crítica</x:v>
      </x:c>
      <x:c r="I8" s="52" t="str">
        <x:v>Diseño funcional</x:v>
      </x:c>
      <x:c r="J8" s="72" t="n">
        <x:v>0.15</x:v>
      </x:c>
      <x:c r="K8" s="52" t="str">
        <x:v>Política de seguridad; estructura orgánica</x:v>
      </x:c>
      <x:c r="L8" s="52" t="str">
        <x:v>Pruebas de acceso y segregación aprobadas</x:v>
      </x:c>
      <x:c r="M8" s="52" t="str">
        <x:v>Incidentes de acceso = 0</x:v>
      </x:c>
      <x:c r="N8" s="52" t="str">
        <x:v>No habilitar usuarios genéricos.</x:v>
      </x:c>
    </x:row>
    <x:row r="9" ht="78" customHeight="1">
      <x:c r="A9" s="52" t="str">
        <x:v>APP-02</x:v>
      </x:c>
      <x:c r="B9" s="52" t="str">
        <x:v>Catálogo maestro de documentos</x:v>
      </x:c>
      <x:c r="C9" s="52" t="str">
        <x:v>Controlar códigos, versiones, responsables, estado y vigencia.</x:v>
      </x:c>
      <x:c r="D9" s="52" t="str">
        <x:v>Metadatos; clasificación; búsquedas; histórico; equivalencias TRD; bloqueo de obsoletos.</x:v>
      </x:c>
      <x:c r="E9" s="52" t="str">
        <x:v>Catálogo único versionado</x:v>
      </x:c>
      <x:c r="F9" s="52" t="str">
        <x:v>Calidad / Archivo</x:v>
      </x:c>
      <x:c r="G9" s="52" t="str">
        <x:v>TIC</x:v>
      </x:c>
      <x:c r="H9" s="52" t="str">
        <x:v>Crítica</x:v>
      </x:c>
      <x:c r="I9" s="52" t="str">
        <x:v>Diseño funcional</x:v>
      </x:c>
      <x:c r="J9" s="72" t="n">
        <x:v>0.2</x:v>
      </x:c>
      <x:c r="K9" s="52" t="str">
        <x:v>Actualización TRD; mapa de procesos</x:v>
      </x:c>
      <x:c r="L9" s="52" t="str">
        <x:v>Ningún documento vigente sin metadatos completos</x:v>
      </x:c>
      <x:c r="M9" s="52" t="str">
        <x:v>100% metadatos</x:v>
      </x:c>
      <x:c r="N9" s="52" t="str">
        <x:v>Debe admitir códigos provisionales y definitivos.</x:v>
      </x:c>
    </x:row>
    <x:row r="10" ht="78" customHeight="1">
      <x:c r="A10" s="52" t="str">
        <x:v>APP-03</x:v>
      </x:c>
      <x:c r="B10" s="52" t="str">
        <x:v>Generador guiado de formatos</x:v>
      </x:c>
      <x:c r="C10" s="52" t="str">
        <x:v>Crear documentos a partir de preguntas y reglas.</x:v>
      </x:c>
      <x:c r="D10" s="52" t="str">
        <x:v>Campos obligatorios; secciones condicionales; cálculo; anexos; vista previa; DOCX/PDF.</x:v>
      </x:c>
      <x:c r="E10" s="52" t="str">
        <x:v>Documento generado y ficha de datos</x:v>
      </x:c>
      <x:c r="F10" s="52" t="str">
        <x:v>Jurídica / Dependencias</x:v>
      </x:c>
      <x:c r="G10" s="52" t="str">
        <x:v>TIC</x:v>
      </x:c>
      <x:c r="H10" s="52" t="str">
        <x:v>Alta</x:v>
      </x:c>
      <x:c r="I10" s="52" t="str">
        <x:v>Diseño funcional</x:v>
      </x:c>
      <x:c r="J10" s="72" t="n">
        <x:v>0.1</x:v>
      </x:c>
      <x:c r="K10" s="52" t="str">
        <x:v>Catálogo y motor de reglas</x:v>
      </x:c>
      <x:c r="L10" s="52" t="str">
        <x:v>Documento reproduce plantilla aprobada sin alteraciones no autorizadas</x:v>
      </x:c>
      <x:c r="M10" s="52" t="str">
        <x:v>Errores de generación = 0</x:v>
      </x:c>
      <x:c r="N10" s="52" t="str">
        <x:v>No usar IA para decidir sin validación humana.</x:v>
      </x:c>
    </x:row>
    <x:row r="11" ht="78" customHeight="1">
      <x:c r="A11" s="52" t="str">
        <x:v>APP-04</x:v>
      </x:c>
      <x:c r="B11" s="52" t="str">
        <x:v>Motor de reglas contractuales</x:v>
      </x:c>
      <x:c r="C11" s="52" t="str">
        <x:v>Aplicar reglas por modalidad, objeto, sector, cuantía y Documento Tipo.</x:v>
      </x:c>
      <x:c r="D11" s="52" t="str">
        <x:v>Árbol de decisiones; alertas CCE; requisitos; riesgos; garantías; bloqueos.</x:v>
      </x:c>
      <x:c r="E11" s="52" t="str">
        <x:v>Ficha de aplicabilidad y checklist</x:v>
      </x:c>
      <x:c r="F11" s="52" t="str">
        <x:v>Jurídica / Contratación</x:v>
      </x:c>
      <x:c r="G11" s="52" t="str">
        <x:v>TIC</x:v>
      </x:c>
      <x:c r="H11" s="52" t="str">
        <x:v>Crítica</x:v>
      </x:c>
      <x:c r="I11" s="52" t="str">
        <x:v>Diseño funcional</x:v>
      </x:c>
      <x:c r="J11" s="72" t="n">
        <x:v>0.1</x:v>
      </x:c>
      <x:c r="K11" s="52" t="str">
        <x:v>Matriz normativa y DocTipo</x:v>
      </x:c>
      <x:c r="L11" s="52" t="str">
        <x:v>Casos de prueba jurídicos aprobados</x:v>
      </x:c>
      <x:c r="M11" s="52" t="str">
        <x:v>100% casos críticos</x:v>
      </x:c>
      <x:c r="N11" s="52" t="str">
        <x:v>Versionar reglas por fecha de vigencia.</x:v>
      </x:c>
    </x:row>
    <x:row r="12" ht="78" customHeight="1">
      <x:c r="A12" s="52" t="str">
        <x:v>APP-05</x:v>
      </x:c>
      <x:c r="B12" s="52" t="str">
        <x:v>Flujo de revisión y aprobación</x:v>
      </x:c>
      <x:c r="C12" s="52" t="str">
        <x:v>Gestionar revisión jurídica, técnica, calidad, archivo, datos y aprobación.</x:v>
      </x:c>
      <x:c r="D12" s="52" t="str">
        <x:v>Tareas; comentarios; devolución; firmas; actas; SLA; recordatorios.</x:v>
      </x:c>
      <x:c r="E12" s="52" t="str">
        <x:v>Historial de aprobación y versión vigente</x:v>
      </x:c>
      <x:c r="F12" s="52" t="str">
        <x:v>Calidad / Secretaría General</x:v>
      </x:c>
      <x:c r="G12" s="52" t="str">
        <x:v>TIC</x:v>
      </x:c>
      <x:c r="H12" s="52" t="str">
        <x:v>Crítica</x:v>
      </x:c>
      <x:c r="I12" s="52" t="str">
        <x:v>Diseño funcional</x:v>
      </x:c>
      <x:c r="J12" s="72" t="n">
        <x:v>0.15</x:v>
      </x:c>
      <x:c r="K12" s="52" t="str">
        <x:v>Roles y firma electrónica</x:v>
      </x:c>
      <x:c r="L12" s="52" t="str">
        <x:v>Imposible publicar sin aprobaciones requeridas</x:v>
      </x:c>
      <x:c r="M12" s="52" t="str">
        <x:v>0 publicaciones no aprobadas</x:v>
      </x:c>
      <x:c r="N12" s="52" t="str">
        <x:v>Configurable por tipo documental.</x:v>
      </x:c>
    </x:row>
    <x:row r="13" ht="78" customHeight="1">
      <x:c r="A13" s="52" t="str">
        <x:v>APP-06</x:v>
      </x:c>
      <x:c r="B13" s="52" t="str">
        <x:v>Expediente electrónico e índice</x:v>
      </x:c>
      <x:c r="C13" s="52" t="str">
        <x:v>Organizar evidencias por etapas y relación documental.</x:v>
      </x:c>
      <x:c r="D13" s="52" t="str">
        <x:v>Checklist; cargas; folios/rutas; índice; vínculos; cierre; transferencia; hash.</x:v>
      </x:c>
      <x:c r="E13" s="52" t="str">
        <x:v>Expediente e índice exportable</x:v>
      </x:c>
      <x:c r="F13" s="52" t="str">
        <x:v>Archivo / Supervisores</x:v>
      </x:c>
      <x:c r="G13" s="52" t="str">
        <x:v>TIC</x:v>
      </x:c>
      <x:c r="H13" s="52" t="str">
        <x:v>Crítica</x:v>
      </x:c>
      <x:c r="I13" s="52" t="str">
        <x:v>Diseño funcional</x:v>
      </x:c>
      <x:c r="J13" s="72" t="n">
        <x:v>0.1</x:v>
      </x:c>
      <x:c r="K13" s="52" t="str">
        <x:v>TRD, repositorio y metadatos</x:v>
      </x:c>
      <x:c r="L13" s="52" t="str">
        <x:v>Expediente íntegro, localizable y transferible</x:v>
      </x:c>
      <x:c r="M13" s="52" t="str">
        <x:v>100% documentos trazables</x:v>
      </x:c>
      <x:c r="N13" s="52" t="str">
        <x:v>Evitar duplicar archivos sin control.</x:v>
      </x:c>
    </x:row>
    <x:row r="14" ht="78" customHeight="1">
      <x:c r="A14" s="52" t="str">
        <x:v>APP-07</x:v>
      </x:c>
      <x:c r="B14" s="52" t="str">
        <x:v>Supervisión y seguimiento financiero</x:v>
      </x:c>
      <x:c r="C14" s="52" t="str">
        <x:v>Registrar productos, evidencias, pagos, saldos, riesgos y alertas.</x:v>
      </x:c>
      <x:c r="D14" s="52" t="str">
        <x:v>Informes; actividades; seguridad social; cuentas; modificaciones; semáforos.</x:v>
      </x:c>
      <x:c r="E14" s="52" t="str">
        <x:v>Informe y certificación de pago</x:v>
      </x:c>
      <x:c r="F14" s="52" t="str">
        <x:v>Supervisores / Financiera</x:v>
      </x:c>
      <x:c r="G14" s="52" t="str">
        <x:v>TIC</x:v>
      </x:c>
      <x:c r="H14" s="52" t="str">
        <x:v>Alta</x:v>
      </x:c>
      <x:c r="I14" s="52" t="str">
        <x:v>Diseño funcional</x:v>
      </x:c>
      <x:c r="J14" s="72" t="n">
        <x:v>0.1</x:v>
      </x:c>
      <x:c r="K14" s="52" t="str">
        <x:v>Datos contractuales y presupuesto</x:v>
      </x:c>
      <x:c r="L14" s="52" t="str">
        <x:v>Cálculos conciliados y aprobados</x:v>
      </x:c>
      <x:c r="M14" s="52" t="str">
        <x:v>Diferencias financieras = 0</x:v>
      </x:c>
      <x:c r="N14" s="52" t="str">
        <x:v>No autorizar pago automáticamente.</x:v>
      </x:c>
    </x:row>
    <x:row r="15" ht="78" customHeight="1">
      <x:c r="A15" s="52" t="str">
        <x:v>APP-08</x:v>
      </x:c>
      <x:c r="B15" s="52" t="str">
        <x:v>Publicación ITA y SECOP</x:v>
      </x:c>
      <x:c r="C15" s="52" t="str">
        <x:v>Preparar repositorio público y enlaces controlados.</x:v>
      </x:c>
      <x:c r="D15" s="52" t="str">
        <x:v>Catálogo público; descarga; advertencias; fechas; enlaces SECOP; vigencia; accesibilidad.</x:v>
      </x:c>
      <x:c r="E15" s="52" t="str">
        <x:v>Índice web y reporte de publicación</x:v>
      </x:c>
      <x:c r="F15" s="52" t="str">
        <x:v>TIC / Transparencia</x:v>
      </x:c>
      <x:c r="G15" s="52" t="str">
        <x:v>TIC</x:v>
      </x:c>
      <x:c r="H15" s="52" t="str">
        <x:v>Alta</x:v>
      </x:c>
      <x:c r="I15" s="52" t="str">
        <x:v>Diseño funcional</x:v>
      </x:c>
      <x:c r="J15" s="72" t="n">
        <x:v>0.2</x:v>
      </x:c>
      <x:c r="K15" s="52" t="str">
        <x:v>Catálogo y flujo de aprobación</x:v>
      </x:c>
      <x:c r="L15" s="52" t="str">
        <x:v>Solo versiones autorizadas son visibles</x:v>
      </x:c>
      <x:c r="M15" s="52" t="str">
        <x:v>100% enlaces vigentes</x:v>
      </x:c>
      <x:c r="N15" s="52" t="str">
        <x:v>Separar borradores transitorios de vigentes.</x:v>
      </x:c>
    </x:row>
    <x:row r="16" ht="78" customHeight="1">
      <x:c r="A16" s="52" t="str">
        <x:v>APP-09</x:v>
      </x:c>
      <x:c r="B16" s="52" t="str">
        <x:v>Alertas normativas y revisión</x:v>
      </x:c>
      <x:c r="C16" s="52" t="str">
        <x:v>Controlar revisiones periódicas y cambios legales.</x:v>
      </x:c>
      <x:c r="D16" s="52" t="str">
        <x:v>Calendario; alertas CCE; vencimientos; asignación; impacto; registro de cambios.</x:v>
      </x:c>
      <x:c r="E16" s="52" t="str">
        <x:v>Bitácora normativa</x:v>
      </x:c>
      <x:c r="F16" s="52" t="str">
        <x:v>Jurídica / Calidad</x:v>
      </x:c>
      <x:c r="G16" s="52" t="str">
        <x:v>TIC</x:v>
      </x:c>
      <x:c r="H16" s="52" t="str">
        <x:v>Alta</x:v>
      </x:c>
      <x:c r="I16" s="52" t="str">
        <x:v>Diseño funcional</x:v>
      </x:c>
      <x:c r="J16" s="72" t="n">
        <x:v>0.05</x:v>
      </x:c>
      <x:c r="K16" s="52" t="str">
        <x:v>Fuentes oficiales</x:v>
      </x:c>
      <x:c r="L16" s="52" t="str">
        <x:v>Alerta genera tarea y decisión documentada</x:v>
      </x:c>
      <x:c r="M16" s="52" t="str">
        <x:v>Actualización ≤30 días</x:v>
      </x:c>
      <x:c r="N16" s="52" t="str">
        <x:v>Las fuentes deben ser oficiales.</x:v>
      </x:c>
    </x:row>
    <x:row r="17" ht="78" customHeight="1">
      <x:c r="A17" s="52" t="str">
        <x:v>APP-10</x:v>
      </x:c>
      <x:c r="B17" s="52" t="str">
        <x:v>Auditoría, integridad y seguridad</x:v>
      </x:c>
      <x:c r="C17" s="52" t="str">
        <x:v>Garantizar trazabilidad e integridad.</x:v>
      </x:c>
      <x:c r="D17" s="52" t="str">
        <x:v>Logs inmutables; hash; respaldos; restauración; retención; incidentes; reportes.</x:v>
      </x:c>
      <x:c r="E17" s="52" t="str">
        <x:v>Informe de auditoría y restauración</x:v>
      </x:c>
      <x:c r="F17" s="52" t="str">
        <x:v>TIC / Control Interno</x:v>
      </x:c>
      <x:c r="G17" s="52" t="str">
        <x:v>TIC</x:v>
      </x:c>
      <x:c r="H17" s="52" t="str">
        <x:v>Crítica</x:v>
      </x:c>
      <x:c r="I17" s="52" t="str">
        <x:v>Diseño funcional</x:v>
      </x:c>
      <x:c r="J17" s="72" t="n">
        <x:v>0.1</x:v>
      </x:c>
      <x:c r="K17" s="52" t="str">
        <x:v>Arquitectura y seguridad</x:v>
      </x:c>
      <x:c r="L17" s="52" t="str">
        <x:v>Prueba de restauración y auditoría aprobada</x:v>
      </x:c>
      <x:c r="M17" s="52" t="str">
        <x:v>Disponibilidad ≥99,5%</x:v>
      </x:c>
      <x:c r="N17" s="52" t="str">
        <x:v>Aplicar privacidad por diseño.</x:v>
      </x:c>
    </x:row>
    <x:row r="18" ht="78" customHeight="1">
      <x:c r="A18" s="52" t="str">
        <x:v>APP-11</x:v>
      </x:c>
      <x:c r="B18" s="52" t="str">
        <x:v>Tableros e indicadores</x:v>
      </x:c>
      <x:c r="C18" s="52" t="str">
        <x:v>Visualizar aprobación, expedientes, riesgos, publicación y SLA.</x:v>
      </x:c>
      <x:c r="D18" s="52" t="str">
        <x:v>KPIs; filtros; exportación; alertas; trazabilidad por dependencia.</x:v>
      </x:c>
      <x:c r="E18" s="52" t="str">
        <x:v>Tablero ejecutivo</x:v>
      </x:c>
      <x:c r="F18" s="52" t="str">
        <x:v>Calidad / Alta Dirección</x:v>
      </x:c>
      <x:c r="G18" s="52" t="str">
        <x:v>TIC</x:v>
      </x:c>
      <x:c r="H18" s="52" t="str">
        <x:v>Media</x:v>
      </x:c>
      <x:c r="I18" s="52" t="str">
        <x:v>Diseño funcional</x:v>
      </x:c>
      <x:c r="J18" s="72" t="n">
        <x:v>0.05</x:v>
      </x:c>
      <x:c r="K18" s="52" t="str">
        <x:v>Datos de todos los módulos</x:v>
      </x:c>
      <x:c r="L18" s="52" t="str">
        <x:v>Indicadores conciliados con registros</x:v>
      </x:c>
      <x:c r="M18" s="52" t="str">
        <x:v>100% KPIs trazables</x:v>
      </x:c>
      <x:c r="N18" s="52" t="str">
        <x:v>No mostrar datos personales innecesarios.</x:v>
      </x:c>
    </x:row>
    <x:row r="19" ht="78" customHeight="1">
      <x:c r="A19" s="52" t="str">
        <x:v>APP-12</x:v>
      </x:c>
      <x:c r="B19" s="52" t="str">
        <x:v>Administración de cambios y despliegue</x:v>
      </x:c>
      <x:c r="C19" s="52" t="str">
        <x:v>Controlar pruebas, versiones, capacitación y soporte.</x:v>
      </x:c>
      <x:c r="D19" s="52" t="str">
        <x:v>Ambientes; casos de prueba; migración; manuales; formación; mesa de ayuda.</x:v>
      </x:c>
      <x:c r="E19" s="52" t="str">
        <x:v>Acta de despliegue y plan de soporte</x:v>
      </x:c>
      <x:c r="F19" s="52" t="str">
        <x:v>Calidad / TIC</x:v>
      </x:c>
      <x:c r="G19" s="52" t="str">
        <x:v>TIC</x:v>
      </x:c>
      <x:c r="H19" s="52" t="str">
        <x:v>Alta</x:v>
      </x:c>
      <x:c r="I19" s="52" t="str">
        <x:v>Diseño funcional</x:v>
      </x:c>
      <x:c r="J19" s="72" t="n">
        <x:v>0.05</x:v>
      </x:c>
      <x:c r="K19" s="52" t="str">
        <x:v>Todos los módulos</x:v>
      </x:c>
      <x:c r="L19" s="52" t="str">
        <x:v>Piloto aprobado antes de producción</x:v>
      </x:c>
      <x:c r="M19" s="52" t="str">
        <x:v>≥90% pruebas aprobadas</x:v>
      </x:c>
      <x:c r="N19" s="52" t="str">
        <x:v>Despliegue por fases.</x:v>
      </x:c>
    </x:row>
    <x:row r="21">
      <x:c r="A21" s="25" t="str">
        <x:v>INDICADORES DE AVANCE DEL PROYECTO</x:v>
      </x:c>
      <x:c r="B21" s="25"/>
      <x:c r="C21" s="25"/>
      <x:c r="D21" s="25"/>
      <x:c r="E21" s="25"/>
      <x:c r="F21" s="25"/>
      <x:c r="G21" s="25"/>
      <x:c r="H21" s="25"/>
      <x:c r="I21" s="25"/>
      <x:c r="J21" s="25"/>
      <x:c r="K21" s="25"/>
      <x:c r="L21" s="25"/>
      <x:c r="M21" s="25"/>
      <x:c r="N21" s="25"/>
    </x:row>
    <x:row r="23">
      <x:c r="A23" s="25" t="str">
        <x:v>Indicador</x:v>
      </x:c>
      <x:c r="B23" s="25" t="str">
        <x:v>Valor actual</x:v>
      </x:c>
      <x:c r="C23" s="25" t="str">
        <x:v>Meta</x:v>
      </x:c>
      <x:c r="D23" s="25" t="str">
        <x:v>Interpretación</x:v>
      </x:c>
    </x:row>
    <x:row r="24">
      <x:c r="A24" s="52" t="str">
        <x:v>Avance promedio</x:v>
      </x:c>
      <x:c r="B24" s="72" t="n">
        <x:f>AVERAGE(J8:J19)</x:f>
        <x:v>0.1125</x:v>
      </x:c>
      <x:c r="C24" s="72" t="n">
        <x:v>1</x:v>
      </x:c>
      <x:c r="D24" s="52" t="str">
        <x:v>Promedio de avance declarado por módulos.</x:v>
      </x:c>
    </x:row>
    <x:row r="25">
      <x:c r="A25" s="52" t="str">
        <x:v>Módulos críticos diseñados</x:v>
      </x:c>
      <x:c r="B25" s="52" t="n">
        <x:f>COUNTIFS(H8:H19,"Crítica",I8:I19,"&lt;&gt;Idea")</x:f>
        <x:v>6</x:v>
      </x:c>
      <x:c r="C25" s="52" t="n">
        <x:v>5</x:v>
      </x:c>
      <x:c r="D25" s="52" t="str">
        <x:v>Cantidad de módulos críticos con estado posterior a Diseño funcional.</x:v>
      </x:c>
    </x:row>
    <x:row r="26">
      <x:c r="A26" s="52" t="str">
        <x:v>Módulos en producción</x:v>
      </x:c>
      <x:c r="B26" s="52" t="n">
        <x:f>COUNTIF(I8:I19,"Producción")</x:f>
        <x:v>0</x:v>
      </x:c>
      <x:c r="C26" s="52" t="n">
        <x:v>12</x:v>
      </x:c>
      <x:c r="D26" s="52" t="str">
        <x:v>Implementación completa del alcance definido.</x:v>
      </x:c>
    </x:row>
  </x:sheetData>
  <x:mergeCells>
    <x:mergeCell ref="A1:N1"/>
    <x:mergeCell ref="A2:N5"/>
    <x:mergeCell ref="A21:N21"/>
  </x:mergeCells>
  <x:conditionalFormatting sqref="J8:J19">
    <x:cfRule type="dataBar" priority="1">
      <x:dataBar>
        <x:cfvo type="min"/>
        <x:cfvo type="max"/>
        <x:color rgb="FFA02B93"/>
      </x:dataBar>
      <x:extLst>
        <x:ext xmlns:x14="http://schemas.microsoft.com/office/spreadsheetml/2009/9/main" uri="{B025F937-C7B1-47D3-B67F-A62EFF666E3E}">
          <x14:id>{CCD7D614-3E22-0E78-B4A7-9648794091AB}</x14:id>
        </x:ext>
      </x:extLst>
    </x:cfRule>
  </x:conditionalFormatting>
  <x:dataValidations count="2">
    <x:dataValidation type="list" sqref="H8:H19">
      <x:formula1>"Crítica,Alta,Media,Baja"</x:formula1>
    </x:dataValidation>
    <x:dataValidation type="list" sqref="I8:I19">
      <x:formula1>"Idea,Diseño funcional,Diseño técnico,Desarrollo,Pruebas,Piloto,Producción,Suspendido"</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CCD7D614-3E22-0E78-B4A7-9648794091AB}">
            <x14:dataBar gradient="1">
              <x14:cfvo type="min"/>
              <x14:cfvo type="max"/>
              <x14:fillColor rgb="FFA02B93"/>
            </x14:dataBar>
          </x14:cfRule>
          <xm:sqref>J8:J19</xm:sqref>
        </x14:conditionalFormatting>
      </x14:conditionalFormattings>
    </x:ext>
  </x:extLst>
</x:worksheet>
</file>

<file path=xl/worksheets/sheet9.xml><?xml version="1.0" encoding="utf-8"?>
<x:worksheet xmlns:x="http://schemas.openxmlformats.org/spreadsheetml/2006/main">
  <x:sheetFormatPr defaultRowHeight="15"/>
  <x:cols>
    <x:col min="1" max="1" width="7" hidden="0" customWidth="1"/>
    <x:col min="2" max="2" width="37" hidden="0" customWidth="1"/>
    <x:col min="3" max="3" width="27" hidden="0" customWidth="1"/>
    <x:col min="4" max="4" width="52" hidden="0" customWidth="1"/>
    <x:col min="5" max="5" width="23" hidden="0" customWidth="1"/>
    <x:col min="6" max="6" width="22" hidden="0" customWidth="1"/>
    <x:col min="7" max="7" width="14" hidden="0" customWidth="1"/>
    <x:col min="8" max="8" width="58" hidden="0" customWidth="1"/>
    <x:col min="9" max="9" width="26" hidden="0" customWidth="1"/>
    <x:col min="10" max="10" width="42" hidden="0" customWidth="1"/>
  </x:cols>
  <x:sheetData>
    <x:row r="1">
      <x:c r="A1" s="6" t="str">
        <x:v>MATRIZ NORMATIVA Y FUENTES OFICIALES DE CONSULTA</x:v>
      </x:c>
      <x:c r="B1" s="6"/>
      <x:c r="C1" s="6"/>
      <x:c r="D1" s="6"/>
      <x:c r="E1" s="6"/>
      <x:c r="F1" s="6"/>
      <x:c r="G1" s="6"/>
      <x:c r="H1" s="6"/>
      <x:c r="I1" s="6"/>
      <x:c r="J1" s="6"/>
    </x:row>
    <x:row r="3" ht="48" customHeight="1">
      <x:c r="A3" s="25" t="str">
        <x:v>No.</x:v>
      </x:c>
      <x:c r="B3" s="25" t="str">
        <x:v>Norma / instrumento</x:v>
      </x:c>
      <x:c r="C3" s="25" t="str">
        <x:v>Tema</x:v>
      </x:c>
      <x:c r="D3" s="25" t="str">
        <x:v>Aplicación en el paquete</x:v>
      </x:c>
      <x:c r="E3" s="25" t="str">
        <x:v>Tipo de fuente</x:v>
      </x:c>
      <x:c r="F3" s="25" t="str">
        <x:v>Estado de verificación</x:v>
      </x:c>
      <x:c r="G3" s="25" t="str">
        <x:v>Fecha de consulta</x:v>
      </x:c>
      <x:c r="H3" s="25" t="str">
        <x:v>URL oficial</x:v>
      </x:c>
      <x:c r="I3" s="25" t="str">
        <x:v>Responsable de seguimiento</x:v>
      </x:c>
      <x:c r="J3" s="25" t="str">
        <x:v>Observación</x:v>
      </x:c>
    </x:row>
    <x:row r="4" ht="68" customHeight="1">
      <x:c r="A4" s="52" t="n">
        <x:v>1</x:v>
      </x:c>
      <x:c r="B4" s="52" t="str">
        <x:v>Ley 80 de 1993</x:v>
      </x:c>
      <x:c r="C4" s="52" t="str">
        <x:v>Estatuto General de Contratación</x:v>
      </x:c>
      <x:c r="D4" s="52" t="str">
        <x:v>Principios, contrato estatal, cláusulas y responsabilidad.</x:v>
      </x:c>
      <x:c r="E4" s="52" t="str">
        <x:v>Norma</x:v>
      </x:c>
      <x:c r="F4" s="52" t="str">
        <x:v>Verificada</x:v>
      </x:c>
      <x:c r="G4" s="74" t="str">
        <x:v>31/07/2026</x:v>
      </x:c>
      <x:c r="H4" s="52" t="str">
        <x:v>https://www.funcionpublica.gov.co/eva/gestornormativo/norma_pdf.php?i=304</x:v>
      </x:c>
      <x:c r="I4" s="52" t="str">
        <x:v>Jurídica</x:v>
      </x:c>
      <x:c r="J4" s="52" t="str">
        <x:v>Consultar texto vigente y modificaciones.</x:v>
      </x:c>
    </x:row>
    <x:row r="5" ht="68" customHeight="1">
      <x:c r="A5" s="52" t="n">
        <x:v>2</x:v>
      </x:c>
      <x:c r="B5" s="52" t="str">
        <x:v>Ley 1150 de 2007</x:v>
      </x:c>
      <x:c r="C5" s="52" t="str">
        <x:v>Modalidades y eficiencia contractual</x:v>
      </x:c>
      <x:c r="D5" s="52" t="str">
        <x:v>Selección, modalidades, garantías y reglas complementarias.</x:v>
      </x:c>
      <x:c r="E5" s="52" t="str">
        <x:v>Norma</x:v>
      </x:c>
      <x:c r="F5" s="52" t="str">
        <x:v>Verificada</x:v>
      </x:c>
      <x:c r="G5" s="74" t="str">
        <x:v>31/07/2026</x:v>
      </x:c>
      <x:c r="H5" s="52" t="str">
        <x:v>https://www.funcionpublica.gov.co/eva/gestornormativo/norma.php?i=25678</x:v>
      </x:c>
      <x:c r="I5" s="52" t="str">
        <x:v>Jurídica</x:v>
      </x:c>
      <x:c r="J5" s="52" t="str">
        <x:v>Aplicar modificaciones vigentes.</x:v>
      </x:c>
    </x:row>
    <x:row r="6" ht="68" customHeight="1">
      <x:c r="A6" s="52" t="n">
        <x:v>3</x:v>
      </x:c>
      <x:c r="B6" s="52" t="str">
        <x:v>Decreto 1082 de 2015</x:v>
      </x:c>
      <x:c r="C6" s="52" t="str">
        <x:v>Reglamentación de contratación</x:v>
      </x:c>
      <x:c r="D6" s="52" t="str">
        <x:v>Contenido de estudios, pliegos, análisis del sector, riesgos y ejecución.</x:v>
      </x:c>
      <x:c r="E6" s="52" t="str">
        <x:v>Decreto compilatorio</x:v>
      </x:c>
      <x:c r="F6" s="52" t="str">
        <x:v>Verificada</x:v>
      </x:c>
      <x:c r="G6" s="74" t="str">
        <x:v>31/07/2026</x:v>
      </x:c>
      <x:c r="H6" s="52" t="str">
        <x:v>https://www.funcionpublica.gov.co/eva/gestornormativo/norma.php?i=77653</x:v>
      </x:c>
      <x:c r="I6" s="52" t="str">
        <x:v>Jurídica / Contratación</x:v>
      </x:c>
      <x:c r="J6" s="52" t="str">
        <x:v>Consultar versión actualizada del decreto único.</x:v>
      </x:c>
    </x:row>
    <x:row r="7" ht="68" customHeight="1">
      <x:c r="A7" s="52" t="n">
        <x:v>4</x:v>
      </x:c>
      <x:c r="B7" s="52" t="str">
        <x:v>Ley 1474 de 2011, arts. 83 y 84</x:v>
      </x:c>
      <x:c r="C7" s="52" t="str">
        <x:v>Supervisión e interventoría</x:v>
      </x:c>
      <x:c r="D7" s="52" t="str">
        <x:v>Seguimiento técnico, administrativo, financiero, contable y jurídico; facultades y deberes.</x:v>
      </x:c>
      <x:c r="E7" s="52" t="str">
        <x:v>Norma</x:v>
      </x:c>
      <x:c r="F7" s="52" t="str">
        <x:v>Verificada</x:v>
      </x:c>
      <x:c r="G7" s="74" t="str">
        <x:v>31/07/2026</x:v>
      </x:c>
      <x:c r="H7" s="52" t="str">
        <x:v>https://www.funcionpublica.gov.co/eva/gestornormativo/norma.php?i=43292</x:v>
      </x:c>
      <x:c r="I7" s="52" t="str">
        <x:v>Jurídica / Supervisores</x:v>
      </x:c>
      <x:c r="J7" s="52" t="str">
        <x:v>Base de formatos de supervisión.</x:v>
      </x:c>
    </x:row>
    <x:row r="8" ht="68" customHeight="1">
      <x:c r="A8" s="52" t="n">
        <x:v>5</x:v>
      </x:c>
      <x:c r="B8" s="52" t="str">
        <x:v>Ley 2022 de 2020</x:v>
      </x:c>
      <x:c r="C8" s="52" t="str">
        <x:v>Documentos Tipo</x:v>
      </x:c>
      <x:c r="D8" s="52" t="str">
        <x:v>Adopción obligatoria de documentos estandarizados en los supuestos legales.</x:v>
      </x:c>
      <x:c r="E8" s="52" t="str">
        <x:v>Norma</x:v>
      </x:c>
      <x:c r="F8" s="52" t="str">
        <x:v>Verificada</x:v>
      </x:c>
      <x:c r="G8" s="74" t="str">
        <x:v>31/07/2026</x:v>
      </x:c>
      <x:c r="H8" s="52" t="str">
        <x:v>https://www.funcionpublica.gov.co/eva/gestornormativo/norma.php?i=136375</x:v>
      </x:c>
      <x:c r="I8" s="52" t="str">
        <x:v>Jurídica</x:v>
      </x:c>
      <x:c r="J8" s="52" t="str">
        <x:v>La versión oficial de CCE prevalece.</x:v>
      </x:c>
    </x:row>
    <x:row r="9" ht="68" customHeight="1">
      <x:c r="A9" s="52" t="n">
        <x:v>6</x:v>
      </x:c>
      <x:c r="B9" s="52" t="str">
        <x:v>Documentos Tipo - Colombia Compra Eficiente</x:v>
      </x:c>
      <x:c r="C9" s="52" t="str">
        <x:v>Repositorio oficial</x:v>
      </x:c>
      <x:c r="D9" s="52" t="str">
        <x:v>Consulta de sectores, resoluciones, matrices y anexos vigentes.</x:v>
      </x:c>
      <x:c r="E9" s="52" t="str">
        <x:v>Portal oficial</x:v>
      </x:c>
      <x:c r="F9" s="52" t="str">
        <x:v>Verificada</x:v>
      </x:c>
      <x:c r="G9" s="74" t="str">
        <x:v>31/07/2026</x:v>
      </x:c>
      <x:c r="H9" s="52" t="str">
        <x:v>https://www.colombiacompra.gov.co/documentos-tipo</x:v>
      </x:c>
      <x:c r="I9" s="52" t="str">
        <x:v>Jurídica / Contratación</x:v>
      </x:c>
      <x:c r="J9" s="52" t="str">
        <x:v>Consultar en cada proceso y guardar evidencia.</x:v>
      </x:c>
    </x:row>
    <x:row r="10" ht="68" customHeight="1">
      <x:c r="A10" s="52" t="n">
        <x:v>7</x:v>
      </x:c>
      <x:c r="B10" s="52" t="str">
        <x:v>Documentos Tipo de infraestructura social 2026</x:v>
      </x:c>
      <x:c r="C10" s="52" t="str">
        <x:v>Infraestructura social</x:v>
      </x:c>
      <x:c r="D10" s="52" t="str">
        <x:v>Control especial para procesos comprendidos en su alcance y fecha de entrada en vigor.</x:v>
      </x:c>
      <x:c r="E10" s="52" t="str">
        <x:v>Noticia / acto oficial CCE</x:v>
      </x:c>
      <x:c r="F10" s="52" t="str">
        <x:v>Verificada</x:v>
      </x:c>
      <x:c r="G10" s="74" t="str">
        <x:v>31/07/2026</x:v>
      </x:c>
      <x:c r="H10" s="52" t="str">
        <x:v>https://www.colombiacompra.gov.co/archivos/noticias/colombia-compra-eficiente-expide-nuevos-documentos-tipo-para-infraestructura-social</x:v>
      </x:c>
      <x:c r="I10" s="52" t="str">
        <x:v>Jurídica / Planeación</x:v>
      </x:c>
      <x:c r="J10" s="52" t="str">
        <x:v>Confirmar resolución y anexos de la versión aplicable.</x:v>
      </x:c>
    </x:row>
    <x:row r="11" ht="68" customHeight="1">
      <x:c r="A11" s="52" t="n">
        <x:v>8</x:v>
      </x:c>
      <x:c r="B11" s="52" t="str">
        <x:v>Resolución MinTIC 1519 de 2020 - Anexo Técnico 2, numeral 3.5</x:v>
      </x:c>
      <x:c r="C11" s="52" t="str">
        <x:v>ITA y transparencia</x:v>
      </x:c>
      <x:c r="D11" s="52" t="str">
        <x:v>Publicar formatos o modelos de contrato y pliegos tipo, en caso de que aplique.</x:v>
      </x:c>
      <x:c r="E11" s="52" t="str">
        <x:v>Norma / anexo técnico</x:v>
      </x:c>
      <x:c r="F11" s="52" t="str">
        <x:v>Verificada</x:v>
      </x:c>
      <x:c r="G11" s="74" t="str">
        <x:v>31/07/2026</x:v>
      </x:c>
      <x:c r="H11" s="52" t="str">
        <x:v>https://normograma.mintic.gov.co/mintic/compilacion/docs/resolucion_mintic_1519_2020.htm</x:v>
      </x:c>
      <x:c r="I11" s="52" t="str">
        <x:v>TIC / Transparencia</x:v>
      </x:c>
      <x:c r="J11" s="52" t="str">
        <x:v>Base directa de la publicación del paquete.</x:v>
      </x:c>
    </x:row>
    <x:row r="12" ht="68" customHeight="1">
      <x:c r="A12" s="52" t="n">
        <x:v>9</x:v>
      </x:c>
      <x:c r="B12" s="52" t="str">
        <x:v>Ley 1712 de 2014</x:v>
      </x:c>
      <x:c r="C12" s="52" t="str">
        <x:v>Transparencia y acceso a información</x:v>
      </x:c>
      <x:c r="D12" s="52" t="str">
        <x:v>Publicación, actualización, accesibilidad y protección de excepciones.</x:v>
      </x:c>
      <x:c r="E12" s="52" t="str">
        <x:v>Norma</x:v>
      </x:c>
      <x:c r="F12" s="52" t="str">
        <x:v>Verificada</x:v>
      </x:c>
      <x:c r="G12" s="74" t="str">
        <x:v>31/07/2026</x:v>
      </x:c>
      <x:c r="H12" s="52" t="str">
        <x:v>https://www.funcionpublica.gov.co/eva/gestornormativo/norma.php?i=56882</x:v>
      </x:c>
      <x:c r="I12" s="52" t="str">
        <x:v>TIC / Jurídica</x:v>
      </x:c>
      <x:c r="J12" s="52" t="str">
        <x:v>Publicar modelos vacíos y enlaces vigentes.</x:v>
      </x:c>
    </x:row>
    <x:row r="13" ht="68" customHeight="1">
      <x:c r="A13" s="52" t="n">
        <x:v>10</x:v>
      </x:c>
      <x:c r="B13" s="52" t="str">
        <x:v>Ley 594 de 2000</x:v>
      </x:c>
      <x:c r="C13" s="52" t="str">
        <x:v>Ley General de Archivos</x:v>
      </x:c>
      <x:c r="D13" s="52" t="str">
        <x:v>Organización de archivos, TRD y gestión documental.</x:v>
      </x:c>
      <x:c r="E13" s="52" t="str">
        <x:v>Norma</x:v>
      </x:c>
      <x:c r="F13" s="52" t="str">
        <x:v>Verificada</x:v>
      </x:c>
      <x:c r="G13" s="74" t="str">
        <x:v>31/07/2026</x:v>
      </x:c>
      <x:c r="H13" s="52" t="str">
        <x:v>https://www.funcionpublica.gov.co/eva/gestornormativo/norma.php?i=4275</x:v>
      </x:c>
      <x:c r="I13" s="52" t="str">
        <x:v>Archivo</x:v>
      </x:c>
      <x:c r="J13" s="52" t="str">
        <x:v>Articular expediente físico y electrónico.</x:v>
      </x:c>
    </x:row>
    <x:row r="14" ht="68" customHeight="1">
      <x:c r="A14" s="52" t="n">
        <x:v>11</x:v>
      </x:c>
      <x:c r="B14" s="52" t="str">
        <x:v>Acuerdo AGN 001 de 2024</x:v>
      </x:c>
      <x:c r="C14" s="52" t="str">
        <x:v>Acuerdo Único de la Función Archivística</x:v>
      </x:c>
      <x:c r="D14" s="52" t="str">
        <x:v>Lineamientos archivísticos actuales para la gestión documental.</x:v>
      </x:c>
      <x:c r="E14" s="52" t="str">
        <x:v>Acuerdo AGN</x:v>
      </x:c>
      <x:c r="F14" s="52" t="str">
        <x:v>Verificada</x:v>
      </x:c>
      <x:c r="G14" s="74" t="str">
        <x:v>31/07/2026</x:v>
      </x:c>
      <x:c r="H14" s="52" t="str">
        <x:v>https://normativa.archivogeneral.gov.co/acuerdo-no-001-del-2024/</x:v>
      </x:c>
      <x:c r="I14" s="52" t="str">
        <x:v>Archivo</x:v>
      </x:c>
      <x:c r="J14" s="52" t="str">
        <x:v>Aplicar en actualización de TRD y aplicativo.</x:v>
      </x:c>
    </x:row>
    <x:row r="15" ht="68" customHeight="1">
      <x:c r="A15" s="52" t="n">
        <x:v>12</x:v>
      </x:c>
      <x:c r="B15" s="52" t="str">
        <x:v>Ley 1581 de 2012</x:v>
      </x:c>
      <x:c r="C15" s="52" t="str">
        <x:v>Protección de datos personales</x:v>
      </x:c>
      <x:c r="D15" s="52" t="str">
        <x:v>Evitar publicación de información personal innecesaria o no autorizada.</x:v>
      </x:c>
      <x:c r="E15" s="52" t="str">
        <x:v>Norma</x:v>
      </x:c>
      <x:c r="F15" s="52" t="str">
        <x:v>Verificada</x:v>
      </x:c>
      <x:c r="G15" s="74" t="str">
        <x:v>31/07/2026</x:v>
      </x:c>
      <x:c r="H15" s="52" t="str">
        <x:v>https://www.funcionpublica.gov.co/eva/gestornormativo/norma.php?i=49981</x:v>
      </x:c>
      <x:c r="I15" s="52" t="str">
        <x:v>Jurídica / TIC</x:v>
      </x:c>
      <x:c r="J15" s="52" t="str">
        <x:v>Privacidad por diseño y revisión de publicación.</x:v>
      </x:c>
    </x:row>
    <x:row r="16" ht="68" customHeight="1">
      <x:c r="A16" s="52" t="n">
        <x:v>13</x:v>
      </x:c>
      <x:c r="B16" s="52" t="str">
        <x:v>Ley 527 de 1999</x:v>
      </x:c>
      <x:c r="C16" s="52" t="str">
        <x:v>Mensajes de datos y firmas</x:v>
      </x:c>
      <x:c r="D16" s="52" t="str">
        <x:v>Soporte jurídico de documentos y firmas electrónicas, según condiciones legales.</x:v>
      </x:c>
      <x:c r="E16" s="52" t="str">
        <x:v>Norma</x:v>
      </x:c>
      <x:c r="F16" s="52" t="str">
        <x:v>Verificada</x:v>
      </x:c>
      <x:c r="G16" s="74" t="str">
        <x:v>31/07/2026</x:v>
      </x:c>
      <x:c r="H16" s="52" t="str">
        <x:v>https://www.funcionpublica.gov.co/eva/gestornormativo/norma.php?i=4276</x:v>
      </x:c>
      <x:c r="I16" s="52" t="str">
        <x:v>Jurídica / TIC</x:v>
      </x:c>
      <x:c r="J16" s="52" t="str">
        <x:v>Definir autenticidad, integridad y conservación.</x:v>
      </x:c>
    </x:row>
    <x:row r="17" ht="68" customHeight="1">
      <x:c r="A17" s="52" t="n">
        <x:v>14</x:v>
      </x:c>
      <x:c r="B17" s="52" t="str">
        <x:v>Guía para el ejercicio de las funciones de supervisión e interventoría - CCE</x:v>
      </x:c>
      <x:c r="C17" s="52" t="str">
        <x:v>Buenas prácticas de supervisión</x:v>
      </x:c>
      <x:c r="D17" s="52" t="str">
        <x:v>Referencia técnica para alcance, funciones, alertas y documentación.</x:v>
      </x:c>
      <x:c r="E17" s="52" t="str">
        <x:v>Guía oficial</x:v>
      </x:c>
      <x:c r="F17" s="52" t="str">
        <x:v>Verificada</x:v>
      </x:c>
      <x:c r="G17" s="74" t="str">
        <x:v>31/07/2026</x:v>
      </x:c>
      <x:c r="H17" s="52" t="str">
        <x:v>https://www.colombiacompra.gov.co/archivos/manual/guia-para-el-ejercicio-de-las-funciones-de-supervision-e-interventoria-de-los-contratos-del-estado</x:v>
      </x:c>
      <x:c r="I17" s="52" t="str">
        <x:v>Jurídica / Supervisores</x:v>
      </x:c>
      <x:c r="J17" s="52" t="str">
        <x:v>Consultar versión publicada por CCE.</x:v>
      </x:c>
    </x:row>
  </x:sheetData>
  <x:mergeCells>
    <x:mergeCell ref="A1:J1"/>
  </x:mergeCells>
  <x:conditionalFormatting sqref="F4:F17">
    <x:cfRule type="expression" dxfId="12" priority="1">
      <x:formula>F4="Verificada"</x:formula>
    </x:cfRule>
  </x:conditionalFormatting>
  <x:dataValidations count="1">
    <x:dataValidation type="list" sqref="F4:F17">
      <x:formula1>"Pendiente,Verificada,Requiere actualización,Derogada / sustituida,No aplica"</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24" hidden="0" customWidth="1"/>
    <x:col min="3" max="3" width="45" hidden="0" customWidth="1"/>
    <x:col min="4" max="4" width="55" hidden="0" customWidth="1"/>
    <x:col min="5" max="5" width="11" hidden="0" customWidth="1"/>
    <x:col min="6" max="6" width="52" hidden="0" customWidth="1"/>
    <x:col min="7" max="7" width="31" hidden="0" customWidth="1"/>
    <x:col min="8" max="8" width="15" hidden="0" customWidth="1"/>
    <x:col min="9" max="9" width="31" hidden="0" customWidth="1"/>
    <x:col min="10" max="10" width="45" hidden="0" customWidth="1"/>
    <x:col min="11" max="11" width="16" hidden="0" customWidth="1"/>
    <x:col min="12" max="12" width="43" hidden="0" customWidth="1"/>
    <x:col min="13" max="13" width="42" hidden="0" customWidth="1"/>
  </x:cols>
  <x:sheetData>
    <x:row r="1">
      <x:c r="A1" s="6" t="str">
        <x:v>ÍNDICE DE PUBLICACIÓN WEB - ITA 3.5</x:v>
      </x:c>
      <x:c r="B1" s="6"/>
      <x:c r="C1" s="6"/>
      <x:c r="D1" s="6"/>
      <x:c r="E1" s="6"/>
      <x:c r="F1" s="6"/>
      <x:c r="G1" s="6"/>
      <x:c r="H1" s="6"/>
      <x:c r="I1" s="6"/>
      <x:c r="J1" s="6"/>
      <x:c r="K1" s="6"/>
      <x:c r="L1" s="6"/>
      <x:c r="M1" s="6"/>
    </x:row>
    <x:row r="2">
      <x:c r="A2" s="45" t="str">
        <x:v>TEXTO RECOMENDADO PARA LA SEDE ELECTRÓNICA
La Alcaldía Municipal de San Pedro, Valle del Cauca, publica los siguientes formatos y modelos contractuales en cumplimiento del numeral 3.5 del menú de Transparencia y Acceso a la Información Pública. Los documentos se encuentran en proceso de revisión y aprobación institucional, junto con la actualización de las Tablas de Retención Documental y el diseño del Aplicativo Institucional de Calidad y Gestión Documental Automática. Son modelos transitorios, vacíos y editables; deben adaptarse a cada proceso. Cuando resulte obligatorio un Documento Tipo de Colombia Compra Eficiente, prevalecerá la versión oficial vigente publicada por esa Agencia. Los documentos definitivos de cada proceso deben consultarse en SECOP.</x:v>
      </x:c>
      <x:c r="B2" s="45"/>
      <x:c r="C2" s="45"/>
      <x:c r="D2" s="45"/>
      <x:c r="E2" s="45"/>
      <x:c r="F2" s="45"/>
      <x:c r="G2" s="45"/>
      <x:c r="H2" s="45"/>
      <x:c r="I2" s="45"/>
      <x:c r="J2" s="45"/>
      <x:c r="K2" s="45"/>
      <x:c r="L2" s="45"/>
      <x:c r="M2" s="45"/>
    </x:row>
    <x:row r="3">
      <x:c r="A3" s="45"/>
      <x:c r="B3" s="45"/>
      <x:c r="C3" s="45"/>
      <x:c r="D3" s="45"/>
      <x:c r="E3" s="45"/>
      <x:c r="F3" s="45"/>
      <x:c r="G3" s="45"/>
      <x:c r="H3" s="45"/>
      <x:c r="I3" s="45"/>
      <x:c r="J3" s="45"/>
      <x:c r="K3" s="45"/>
      <x:c r="L3" s="45"/>
      <x:c r="M3" s="45"/>
    </x:row>
    <x:row r="4">
      <x:c r="A4" s="45"/>
      <x:c r="B4" s="45"/>
      <x:c r="C4" s="45"/>
      <x:c r="D4" s="45"/>
      <x:c r="E4" s="45"/>
      <x:c r="F4" s="45"/>
      <x:c r="G4" s="45"/>
      <x:c r="H4" s="45"/>
      <x:c r="I4" s="45"/>
      <x:c r="J4" s="45"/>
      <x:c r="K4" s="45"/>
      <x:c r="L4" s="45"/>
      <x:c r="M4" s="45"/>
    </x:row>
    <x:row r="5">
      <x:c r="A5" s="45"/>
      <x:c r="B5" s="45"/>
      <x:c r="C5" s="45"/>
      <x:c r="D5" s="45"/>
      <x:c r="E5" s="45"/>
      <x:c r="F5" s="45"/>
      <x:c r="G5" s="45"/>
      <x:c r="H5" s="45"/>
      <x:c r="I5" s="45"/>
      <x:c r="J5" s="45"/>
      <x:c r="K5" s="45"/>
      <x:c r="L5" s="45"/>
      <x:c r="M5" s="45"/>
    </x:row>
    <x:row r="6">
      <x:c r="A6" s="45"/>
      <x:c r="B6" s="45"/>
      <x:c r="C6" s="45"/>
      <x:c r="D6" s="45"/>
      <x:c r="E6" s="45"/>
      <x:c r="F6" s="45"/>
      <x:c r="G6" s="45"/>
      <x:c r="H6" s="45"/>
      <x:c r="I6" s="45"/>
      <x:c r="J6" s="45"/>
      <x:c r="K6" s="45"/>
      <x:c r="L6" s="45"/>
      <x:c r="M6" s="45"/>
    </x:row>
    <x:row r="7">
      <x:c r="A7" s="45"/>
      <x:c r="B7" s="45"/>
      <x:c r="C7" s="45"/>
      <x:c r="D7" s="45"/>
      <x:c r="E7" s="45"/>
      <x:c r="F7" s="45"/>
      <x:c r="G7" s="45"/>
      <x:c r="H7" s="45"/>
      <x:c r="I7" s="45"/>
      <x:c r="J7" s="45"/>
      <x:c r="K7" s="45"/>
      <x:c r="L7" s="45"/>
      <x:c r="M7" s="45"/>
    </x:row>
    <x:row r="9" ht="48" customHeight="1">
      <x:c r="A9" s="25" t="str">
        <x:v>Orden</x:v>
      </x:c>
      <x:c r="B9" s="25" t="str">
        <x:v>Sección</x:v>
      </x:c>
      <x:c r="C9" s="25" t="str">
        <x:v>Título visible</x:v>
      </x:c>
      <x:c r="D9" s="25" t="str">
        <x:v>Archivo</x:v>
      </x:c>
      <x:c r="E9" s="25" t="str">
        <x:v>Formato</x:v>
      </x:c>
      <x:c r="F9" s="25" t="str">
        <x:v>Descripción corta</x:v>
      </x:c>
      <x:c r="G9" s="25" t="str">
        <x:v>Estado visible</x:v>
      </x:c>
      <x:c r="H9" s="25" t="str">
        <x:v>Fecha actualización</x:v>
      </x:c>
      <x:c r="I9" s="25" t="str">
        <x:v>Responsable</x:v>
      </x:c>
      <x:c r="J9" s="25" t="str">
        <x:v>URL de publicación</x:v>
      </x:c>
      <x:c r="K9" s="25" t="str">
        <x:v>Validación enlace</x:v>
      </x:c>
      <x:c r="L9" s="25" t="str">
        <x:v>Accesibilidad / alternativa</x:v>
      </x:c>
      <x:c r="M9" s="25" t="str">
        <x:v>Observación</x:v>
      </x:c>
    </x:row>
    <x:row r="10" ht="58" customHeight="1">
      <x:c r="A10" s="52" t="n">
        <x:v>1</x:v>
      </x:c>
      <x:c r="B10" s="52" t="str">
        <x:v>Guía y publicación</x:v>
      </x:c>
      <x:c r="C10" s="52" t="str">
        <x:v>Guía de publicación y uso transitorio de formatos contractuales</x:v>
      </x:c>
      <x:c r="D10" s="52" t="str">
        <x:v>00_Guia_y_Publicacion/00_Guia_Publicacion_Uso_Transitorio_ITA_3_5.docx</x:v>
      </x:c>
      <x:c r="E10" s="52" t="str">
        <x:v>DOCX</x:v>
      </x:c>
      <x:c r="F10" s="52" t="str">
        <x:v>Define alcance, reglas, advertencias, publicación y transición al aplicativo.</x:v>
      </x:c>
      <x:c r="G10" s="52" t="str">
        <x:v>Borrador transitorio - en aprobación</x:v>
      </x:c>
      <x:c r="H10" s="70" t="n">
        <x:v>46234</x:v>
      </x:c>
      <x:c r="I10" s="52" t="str">
        <x:v>Jurídica y Contratación / TIC</x:v>
      </x:c>
      <x:c r="J10" s="52" t="str"/>
      <x:c r="K10" s="52" t="str">
        <x:v>Pendiente</x:v>
      </x:c>
      <x:c r="L10" s="52" t="str">
        <x:v>Nombre de archivo descriptivo; título y advertencia dentro del documento.</x:v>
      </x:c>
      <x:c r="M10" s="52" t="str">
        <x:v>Reemplazar enlace cuando se apruebe la versión oficial.</x:v>
      </x:c>
    </x:row>
    <x:row r="11" ht="58" customHeight="1">
      <x:c r="A11" s="52" t="n">
        <x:v>2</x:v>
      </x:c>
      <x:c r="B11" s="52" t="str">
        <x:v>Planeación precontractual</x:v>
      </x:c>
      <x:c r="C11" s="52" t="str">
        <x:v>Formato de estudios y documentos previos</x:v>
      </x:c>
      <x:c r="D11" s="52" t="str">
        <x:v>01_Planeacion_Precontractual/01_Formato_Estudios_Documentos_Previos.docx</x:v>
      </x:c>
      <x:c r="E11" s="52" t="str">
        <x:v>DOCX</x:v>
      </x:c>
      <x:c r="F11" s="52" t="str">
        <x:v>Estructura integral de necesidad, objeto, modalidad, valor, riesgos, garantías y análisis.</x:v>
      </x:c>
      <x:c r="G11" s="52" t="str">
        <x:v>Borrador transitorio - en aprobación</x:v>
      </x:c>
      <x:c r="H11" s="70" t="n">
        <x:v>46234</x:v>
      </x:c>
      <x:c r="I11" s="52" t="str">
        <x:v>Jurídica y Contratación / TIC</x:v>
      </x:c>
      <x:c r="J11" s="52" t="str"/>
      <x:c r="K11" s="52" t="str">
        <x:v>Pendiente</x:v>
      </x:c>
      <x:c r="L11" s="52" t="str">
        <x:v>Nombre de archivo descriptivo; título y advertencia dentro del documento.</x:v>
      </x:c>
      <x:c r="M11" s="52" t="str">
        <x:v>Reemplazar enlace cuando se apruebe la versión oficial.</x:v>
      </x:c>
    </x:row>
    <x:row r="12" ht="58" customHeight="1">
      <x:c r="A12" s="52" t="n">
        <x:v>3</x:v>
      </x:c>
      <x:c r="B12" s="52" t="str">
        <x:v>Planeación precontractual</x:v>
      </x:c>
      <x:c r="C12" s="52" t="str">
        <x:v>Formato de análisis del sector y estudio de mercado</x:v>
      </x:c>
      <x:c r="D12" s="52" t="str">
        <x:v>01_Planeacion_Precontractual/02_Formato_Analisis_Sector_Estudio_Mercado.docx</x:v>
      </x:c>
      <x:c r="E12" s="52" t="str">
        <x:v>DOCX</x:v>
      </x:c>
      <x:c r="F12" s="52" t="str">
        <x:v>Análisis económico, técnico, oferta, demanda, precios, fuentes y conclusiones.</x:v>
      </x:c>
      <x:c r="G12" s="52" t="str">
        <x:v>Borrador transitorio - en aprobación</x:v>
      </x:c>
      <x:c r="H12" s="70" t="n">
        <x:v>46234</x:v>
      </x:c>
      <x:c r="I12" s="52" t="str">
        <x:v>Jurídica y Contratación / TIC</x:v>
      </x:c>
      <x:c r="J12" s="52" t="str"/>
      <x:c r="K12" s="52" t="str">
        <x:v>Pendiente</x:v>
      </x:c>
      <x:c r="L12" s="52" t="str">
        <x:v>Nombre de archivo descriptivo; título y advertencia dentro del documento.</x:v>
      </x:c>
      <x:c r="M12" s="52" t="str">
        <x:v>Reemplazar enlace cuando se apruebe la versión oficial.</x:v>
      </x:c>
    </x:row>
    <x:row r="13" ht="58" customHeight="1">
      <x:c r="A13" s="52" t="n">
        <x:v>4</x:v>
      </x:c>
      <x:c r="B13" s="52" t="str">
        <x:v>Planeación precontractual</x:v>
      </x:c>
      <x:c r="C13" s="52" t="str">
        <x:v>Ficha de aplicabilidad de Documentos Tipo</x:v>
      </x:c>
      <x:c r="D13" s="52" t="str">
        <x:v>01_Planeacion_Precontractual/03_Ficha_Aplicabilidad_Documentos_Tipo.docx</x:v>
      </x:c>
      <x:c r="E13" s="52" t="str">
        <x:v>DOCX</x:v>
      </x:c>
      <x:c r="F13" s="52" t="str">
        <x:v>Verificación obligatoria previa de alcance, modalidad, sector y versión vigente de CCE.</x:v>
      </x:c>
      <x:c r="G13" s="52" t="str">
        <x:v>Borrador transitorio - en aprobación</x:v>
      </x:c>
      <x:c r="H13" s="70" t="n">
        <x:v>46234</x:v>
      </x:c>
      <x:c r="I13" s="52" t="str">
        <x:v>Jurídica y Contratación / TIC</x:v>
      </x:c>
      <x:c r="J13" s="52" t="str"/>
      <x:c r="K13" s="52" t="str">
        <x:v>Pendiente</x:v>
      </x:c>
      <x:c r="L13" s="52" t="str">
        <x:v>Nombre de archivo descriptivo; título y advertencia dentro del documento.</x:v>
      </x:c>
      <x:c r="M13" s="52" t="str">
        <x:v>Reemplazar enlace cuando se apruebe la versión oficial.</x:v>
      </x:c>
    </x:row>
    <x:row r="14" ht="58" customHeight="1">
      <x:c r="A14" s="52" t="n">
        <x:v>5</x:v>
      </x:c>
      <x:c r="B14" s="52" t="str">
        <x:v>Pliegos y selección</x:v>
      </x:c>
      <x:c r="C14" s="52" t="str">
        <x:v>Modelo de invitación pública de mínima cuantía</x:v>
      </x:c>
      <x:c r="D14" s="52" t="str">
        <x:v>02_Pliegos_y_Seleccion/04_Modelo_Invitacion_Publica_Minima_Cuantia.docx</x:v>
      </x:c>
      <x:c r="E14" s="52" t="str">
        <x:v>DOCX</x:v>
      </x:c>
      <x:c r="F14" s="52" t="str">
        <x:v>Base adaptable para mínima cuantía; no sustituye el documento oficial publicado en SECOP.</x:v>
      </x:c>
      <x:c r="G14" s="52" t="str">
        <x:v>Borrador transitorio - en aprobación</x:v>
      </x:c>
      <x:c r="H14" s="70" t="n">
        <x:v>46234</x:v>
      </x:c>
      <x:c r="I14" s="52" t="str">
        <x:v>Jurídica y Contratación / TIC</x:v>
      </x:c>
      <x:c r="J14" s="52" t="str"/>
      <x:c r="K14" s="52" t="str">
        <x:v>Pendiente</x:v>
      </x:c>
      <x:c r="L14" s="52" t="str">
        <x:v>Nombre de archivo descriptivo; título y advertencia dentro del documento.</x:v>
      </x:c>
      <x:c r="M14" s="52" t="str">
        <x:v>Reemplazar enlace cuando se apruebe la versión oficial.</x:v>
      </x:c>
    </x:row>
    <x:row r="15" ht="58" customHeight="1">
      <x:c r="A15" s="52" t="n">
        <x:v>6</x:v>
      </x:c>
      <x:c r="B15" s="52" t="str">
        <x:v>Pliegos y selección</x:v>
      </x:c>
      <x:c r="C15" s="52" t="str">
        <x:v>Modelo base de pliego para procesos no sujetos a Documentos Tipo</x:v>
      </x:c>
      <x:c r="D15" s="52" t="str">
        <x:v>02_Pliegos_y_Seleccion/05_Modelo_Base_Pliego_No_Sujeto_Documentos_Tipo.docx</x:v>
      </x:c>
      <x:c r="E15" s="52" t="str">
        <x:v>DOCX</x:v>
      </x:c>
      <x:c r="F15" s="52" t="str">
        <x:v>Solo se usa cuando se documente que no aplica un Documento Tipo obligatorio.</x:v>
      </x:c>
      <x:c r="G15" s="52" t="str">
        <x:v>Borrador transitorio - en aprobación</x:v>
      </x:c>
      <x:c r="H15" s="70" t="n">
        <x:v>46234</x:v>
      </x:c>
      <x:c r="I15" s="52" t="str">
        <x:v>Jurídica y Contratación / TIC</x:v>
      </x:c>
      <x:c r="J15" s="52" t="str"/>
      <x:c r="K15" s="52" t="str">
        <x:v>Pendiente</x:v>
      </x:c>
      <x:c r="L15" s="52" t="str">
        <x:v>Nombre de archivo descriptivo; título y advertencia dentro del documento.</x:v>
      </x:c>
      <x:c r="M15" s="52" t="str">
        <x:v>Reemplazar enlace cuando se apruebe la versión oficial.</x:v>
      </x:c>
    </x:row>
    <x:row r="16" ht="58" customHeight="1">
      <x:c r="A16" s="52" t="n">
        <x:v>7</x:v>
      </x:c>
      <x:c r="B16" s="52" t="str">
        <x:v>Pliegos y selección</x:v>
      </x:c>
      <x:c r="C16" s="52" t="str">
        <x:v>Formato de informe de evaluación de ofertas</x:v>
      </x:c>
      <x:c r="D16" s="52" t="str">
        <x:v>02_Pliegos_y_Seleccion/06_Formato_Informe_Evaluacion_Ofertas.docx</x:v>
      </x:c>
      <x:c r="E16" s="52" t="str">
        <x:v>DOCX</x:v>
      </x:c>
      <x:c r="F16" s="52" t="str">
        <x:v>Consolidación jurídica, técnica, financiera, económica, subsanaciones y recomendación.</x:v>
      </x:c>
      <x:c r="G16" s="52" t="str">
        <x:v>Borrador transitorio - en aprobación</x:v>
      </x:c>
      <x:c r="H16" s="70" t="n">
        <x:v>46234</x:v>
      </x:c>
      <x:c r="I16" s="52" t="str">
        <x:v>Jurídica y Contratación / TIC</x:v>
      </x:c>
      <x:c r="J16" s="52" t="str"/>
      <x:c r="K16" s="52" t="str">
        <x:v>Pendiente</x:v>
      </x:c>
      <x:c r="L16" s="52" t="str">
        <x:v>Nombre de archivo descriptivo; título y advertencia dentro del documento.</x:v>
      </x:c>
      <x:c r="M16" s="52" t="str">
        <x:v>Reemplazar enlace cuando se apruebe la versión oficial.</x:v>
      </x:c>
    </x:row>
    <x:row r="17" ht="58" customHeight="1">
      <x:c r="A17" s="52" t="n">
        <x:v>8</x:v>
      </x:c>
      <x:c r="B17" s="52" t="str">
        <x:v>Modelos de contrato</x:v>
      </x:c>
      <x:c r="C17" s="52" t="str">
        <x:v>Modelo de contrato de prestación de servicios profesionales</x:v>
      </x:c>
      <x:c r="D17" s="52" t="str">
        <x:v>03_Modelos_de_Contrato/07_Modelo_Contrato_Servicios_Profesionales.docx</x:v>
      </x:c>
      <x:c r="E17" s="52" t="str">
        <x:v>DOCX</x:v>
      </x:c>
      <x:c r="F17" s="52" t="str">
        <x:v>Modelo vacío con clausulado orientador para servicios profesionales.</x:v>
      </x:c>
      <x:c r="G17" s="52" t="str">
        <x:v>Borrador transitorio - en aprobación</x:v>
      </x:c>
      <x:c r="H17" s="70" t="n">
        <x:v>46234</x:v>
      </x:c>
      <x:c r="I17" s="52" t="str">
        <x:v>Jurídica y Contratación / TIC</x:v>
      </x:c>
      <x:c r="J17" s="52" t="str"/>
      <x:c r="K17" s="52" t="str">
        <x:v>Pendiente</x:v>
      </x:c>
      <x:c r="L17" s="52" t="str">
        <x:v>Nombre de archivo descriptivo; título y advertencia dentro del documento.</x:v>
      </x:c>
      <x:c r="M17" s="52" t="str">
        <x:v>Reemplazar enlace cuando se apruebe la versión oficial.</x:v>
      </x:c>
    </x:row>
    <x:row r="18" ht="58" customHeight="1">
      <x:c r="A18" s="52" t="n">
        <x:v>9</x:v>
      </x:c>
      <x:c r="B18" s="52" t="str">
        <x:v>Modelos de contrato</x:v>
      </x:c>
      <x:c r="C18" s="52" t="str">
        <x:v>Modelo de contrato de prestación de servicios de apoyo a la gestión</x:v>
      </x:c>
      <x:c r="D18" s="52" t="str">
        <x:v>03_Modelos_de_Contrato/08_Modelo_Contrato_Apoyo_Gestion.docx</x:v>
      </x:c>
      <x:c r="E18" s="52" t="str">
        <x:v>DOCX</x:v>
      </x:c>
      <x:c r="F18" s="52" t="str">
        <x:v>Modelo vacío mejorado con productos, coordinación, independencia y control documental.</x:v>
      </x:c>
      <x:c r="G18" s="52" t="str">
        <x:v>Borrador transitorio - en aprobación</x:v>
      </x:c>
      <x:c r="H18" s="70" t="n">
        <x:v>46234</x:v>
      </x:c>
      <x:c r="I18" s="52" t="str">
        <x:v>Jurídica y Contratación / TIC</x:v>
      </x:c>
      <x:c r="J18" s="52" t="str"/>
      <x:c r="K18" s="52" t="str">
        <x:v>Pendiente</x:v>
      </x:c>
      <x:c r="L18" s="52" t="str">
        <x:v>Nombre de archivo descriptivo; título y advertencia dentro del documento.</x:v>
      </x:c>
      <x:c r="M18" s="52" t="str">
        <x:v>Reemplazar enlace cuando se apruebe la versión oficial.</x:v>
      </x:c>
    </x:row>
    <x:row r="19" ht="58" customHeight="1">
      <x:c r="A19" s="52" t="n">
        <x:v>10</x:v>
      </x:c>
      <x:c r="B19" s="52" t="str">
        <x:v>Modelos de contrato</x:v>
      </x:c>
      <x:c r="C19" s="52" t="str">
        <x:v>Modelo de contrato de suministro</x:v>
      </x:c>
      <x:c r="D19" s="52" t="str">
        <x:v>03_Modelos_de_Contrato/09_Modelo_Contrato_Suministro.docx</x:v>
      </x:c>
      <x:c r="E19" s="52" t="str">
        <x:v>DOCX</x:v>
      </x:c>
      <x:c r="F19" s="52" t="str">
        <x:v>Modelo vacío para bienes de entrega sucesiva o periódica, con calidad, aceptación e inventarios.</x:v>
      </x:c>
      <x:c r="G19" s="52" t="str">
        <x:v>Borrador transitorio - en aprobación</x:v>
      </x:c>
      <x:c r="H19" s="70" t="n">
        <x:v>46234</x:v>
      </x:c>
      <x:c r="I19" s="52" t="str">
        <x:v>Jurídica y Contratación / TIC</x:v>
      </x:c>
      <x:c r="J19" s="52" t="str"/>
      <x:c r="K19" s="52" t="str">
        <x:v>Pendiente</x:v>
      </x:c>
      <x:c r="L19" s="52" t="str">
        <x:v>Nombre de archivo descriptivo; título y advertencia dentro del documento.</x:v>
      </x:c>
      <x:c r="M19" s="52" t="str">
        <x:v>Reemplazar enlace cuando se apruebe la versión oficial.</x:v>
      </x:c>
    </x:row>
    <x:row r="20" ht="58" customHeight="1">
      <x:c r="A20" s="52" t="n">
        <x:v>11</x:v>
      </x:c>
      <x:c r="B20" s="52" t="str">
        <x:v>Modelos de contrato</x:v>
      </x:c>
      <x:c r="C20" s="52" t="str">
        <x:v>Modelo de contrato de obra pública</x:v>
      </x:c>
      <x:c r="D20" s="52" t="str">
        <x:v>03_Modelos_de_Contrato/10_Modelo_Contrato_Obra_Publica.docx</x:v>
      </x:c>
      <x:c r="E20" s="52" t="str">
        <x:v>DOCX</x:v>
      </x:c>
      <x:c r="F20" s="52" t="str">
        <x:v>Modelo interno complementario; el Documento Tipo vigente de CCE prevalece cuando sea obligatorio.</x:v>
      </x:c>
      <x:c r="G20" s="52" t="str">
        <x:v>Borrador transitorio - en aprobación</x:v>
      </x:c>
      <x:c r="H20" s="70" t="n">
        <x:v>46234</x:v>
      </x:c>
      <x:c r="I20" s="52" t="str">
        <x:v>Jurídica y Contratación / TIC</x:v>
      </x:c>
      <x:c r="J20" s="52" t="str"/>
      <x:c r="K20" s="52" t="str">
        <x:v>Pendiente</x:v>
      </x:c>
      <x:c r="L20" s="52" t="str">
        <x:v>Nombre de archivo descriptivo; título y advertencia dentro del documento.</x:v>
      </x:c>
      <x:c r="M20" s="52" t="str">
        <x:v>Reemplazar enlace cuando se apruebe la versión oficial.</x:v>
      </x:c>
    </x:row>
    <x:row r="21" ht="58" customHeight="1">
      <x:c r="A21" s="52" t="n">
        <x:v>12</x:v>
      </x:c>
      <x:c r="B21" s="52" t="str">
        <x:v>Modelos de contrato</x:v>
      </x:c>
      <x:c r="C21" s="52" t="str">
        <x:v>Modelo de contrato de consultoría e interventoría</x:v>
      </x:c>
      <x:c r="D21" s="52" t="str">
        <x:v>03_Modelos_de_Contrato/11_Modelo_Contrato_Consultoria_Interventoria.docx</x:v>
      </x:c>
      <x:c r="E21" s="52" t="str">
        <x:v>DOCX</x:v>
      </x:c>
      <x:c r="F21" s="52" t="str">
        <x:v>Modelo vacío para productos especializados, equipo, metodología y responsabilidad técnica.</x:v>
      </x:c>
      <x:c r="G21" s="52" t="str">
        <x:v>Borrador transitorio - en aprobación</x:v>
      </x:c>
      <x:c r="H21" s="70" t="n">
        <x:v>46234</x:v>
      </x:c>
      <x:c r="I21" s="52" t="str">
        <x:v>Jurídica y Contratación / TIC</x:v>
      </x:c>
      <x:c r="J21" s="52" t="str"/>
      <x:c r="K21" s="52" t="str">
        <x:v>Pendiente</x:v>
      </x:c>
      <x:c r="L21" s="52" t="str">
        <x:v>Nombre de archivo descriptivo; título y advertencia dentro del documento.</x:v>
      </x:c>
      <x:c r="M21" s="52" t="str">
        <x:v>Reemplazar enlace cuando se apruebe la versión oficial.</x:v>
      </x:c>
    </x:row>
    <x:row r="22" ht="58" customHeight="1">
      <x:c r="A22" s="52" t="n">
        <x:v>13</x:v>
      </x:c>
      <x:c r="B22" s="52" t="str">
        <x:v>Ejecución y supervisión</x:v>
      </x:c>
      <x:c r="C22" s="52" t="str">
        <x:v>Formato de acta de inicio</x:v>
      </x:c>
      <x:c r="D22" s="52" t="str">
        <x:v>04_Ejecucion_y_Supervision/12_Formato_Acta_Inicio.docx</x:v>
      </x:c>
      <x:c r="E22" s="52" t="str">
        <x:v>DOCX</x:v>
      </x:c>
      <x:c r="F22" s="52" t="str">
        <x:v>Verificación de requisitos de ejecución, garantías, supervisor, plazo y fecha efectiva.</x:v>
      </x:c>
      <x:c r="G22" s="52" t="str">
        <x:v>Borrador transitorio - en aprobación</x:v>
      </x:c>
      <x:c r="H22" s="70" t="n">
        <x:v>46234</x:v>
      </x:c>
      <x:c r="I22" s="52" t="str">
        <x:v>Jurídica y Contratación / TIC</x:v>
      </x:c>
      <x:c r="J22" s="52" t="str"/>
      <x:c r="K22" s="52" t="str">
        <x:v>Pendiente</x:v>
      </x:c>
      <x:c r="L22" s="52" t="str">
        <x:v>Nombre de archivo descriptivo; título y advertencia dentro del documento.</x:v>
      </x:c>
      <x:c r="M22" s="52" t="str">
        <x:v>Reemplazar enlace cuando se apruebe la versión oficial.</x:v>
      </x:c>
    </x:row>
    <x:row r="23" ht="58" customHeight="1">
      <x:c r="A23" s="52" t="n">
        <x:v>14</x:v>
      </x:c>
      <x:c r="B23" s="52" t="str">
        <x:v>Ejecución y supervisión</x:v>
      </x:c>
      <x:c r="C23" s="52" t="str">
        <x:v>Formato de acta de suspensión</x:v>
      </x:c>
      <x:c r="D23" s="52" t="str">
        <x:v>04_Ejecucion_y_Supervision/13_Formato_Acta_Suspension.docx</x:v>
      </x:c>
      <x:c r="E23" s="52" t="str">
        <x:v>DOCX</x:v>
      </x:c>
      <x:c r="F23" s="52" t="str">
        <x:v>Documenta causal, estado, obligaciones durante suspensión, garantías y nueva fecha.</x:v>
      </x:c>
      <x:c r="G23" s="52" t="str">
        <x:v>Borrador transitorio - en aprobación</x:v>
      </x:c>
      <x:c r="H23" s="70" t="n">
        <x:v>46234</x:v>
      </x:c>
      <x:c r="I23" s="52" t="str">
        <x:v>Jurídica y Contratación / TIC</x:v>
      </x:c>
      <x:c r="J23" s="52" t="str"/>
      <x:c r="K23" s="52" t="str">
        <x:v>Pendiente</x:v>
      </x:c>
      <x:c r="L23" s="52" t="str">
        <x:v>Nombre de archivo descriptivo; título y advertencia dentro del documento.</x:v>
      </x:c>
      <x:c r="M23" s="52" t="str">
        <x:v>Reemplazar enlace cuando se apruebe la versión oficial.</x:v>
      </x:c>
    </x:row>
    <x:row r="24" ht="58" customHeight="1">
      <x:c r="A24" s="52" t="n">
        <x:v>15</x:v>
      </x:c>
      <x:c r="B24" s="52" t="str">
        <x:v>Ejecución y supervisión</x:v>
      </x:c>
      <x:c r="C24" s="52" t="str">
        <x:v>Formato de acta de reinicio</x:v>
      </x:c>
      <x:c r="D24" s="52" t="str">
        <x:v>04_Ejecucion_y_Supervision/14_Formato_Acta_Reinicio.docx</x:v>
      </x:c>
      <x:c r="E24" s="52" t="str">
        <x:v>DOCX</x:v>
      </x:c>
      <x:c r="F24" s="52" t="str">
        <x:v>Verifica superación de causas, actualización de garantías y saldo de plazo.</x:v>
      </x:c>
      <x:c r="G24" s="52" t="str">
        <x:v>Borrador transitorio - en aprobación</x:v>
      </x:c>
      <x:c r="H24" s="70" t="n">
        <x:v>46234</x:v>
      </x:c>
      <x:c r="I24" s="52" t="str">
        <x:v>Jurídica y Contratación / TIC</x:v>
      </x:c>
      <x:c r="J24" s="52" t="str"/>
      <x:c r="K24" s="52" t="str">
        <x:v>Pendiente</x:v>
      </x:c>
      <x:c r="L24" s="52" t="str">
        <x:v>Nombre de archivo descriptivo; título y advertencia dentro del documento.</x:v>
      </x:c>
      <x:c r="M24" s="52" t="str">
        <x:v>Reemplazar enlace cuando se apruebe la versión oficial.</x:v>
      </x:c>
    </x:row>
    <x:row r="25" ht="58" customHeight="1">
      <x:c r="A25" s="52" t="n">
        <x:v>16</x:v>
      </x:c>
      <x:c r="B25" s="52" t="str">
        <x:v>Ejecución y supervisión</x:v>
      </x:c>
      <x:c r="C25" s="52" t="str">
        <x:v>Formato de solicitud y justificación de modificación, adición o prórroga</x:v>
      </x:c>
      <x:c r="D25" s="52" t="str">
        <x:v>04_Ejecucion_y_Supervision/15_Formato_Solicitud_Modificacion_Adicion_Prorroga.docx</x:v>
      </x:c>
      <x:c r="E25" s="52" t="str">
        <x:v>DOCX</x:v>
      </x:c>
      <x:c r="F25" s="52" t="str">
        <x:v>Control técnico, financiero, jurídico, presupuestal y de riesgos antes de modificar.</x:v>
      </x:c>
      <x:c r="G25" s="52" t="str">
        <x:v>Borrador transitorio - en aprobación</x:v>
      </x:c>
      <x:c r="H25" s="70" t="n">
        <x:v>46234</x:v>
      </x:c>
      <x:c r="I25" s="52" t="str">
        <x:v>Jurídica y Contratación / TIC</x:v>
      </x:c>
      <x:c r="J25" s="52" t="str"/>
      <x:c r="K25" s="52" t="str">
        <x:v>Pendiente</x:v>
      </x:c>
      <x:c r="L25" s="52" t="str">
        <x:v>Nombre de archivo descriptivo; título y advertencia dentro del documento.</x:v>
      </x:c>
      <x:c r="M25" s="52" t="str">
        <x:v>Reemplazar enlace cuando se apruebe la versión oficial.</x:v>
      </x:c>
    </x:row>
    <x:row r="26" ht="58" customHeight="1">
      <x:c r="A26" s="52" t="n">
        <x:v>17</x:v>
      </x:c>
      <x:c r="B26" s="52" t="str">
        <x:v>Ejecución y supervisión</x:v>
      </x:c>
      <x:c r="C26" s="52" t="str">
        <x:v>Formato de informe periódico del contratista</x:v>
      </x:c>
      <x:c r="D26" s="52" t="str">
        <x:v>04_Ejecucion_y_Supervision/16_Formato_Informe_Contratista.docx</x:v>
      </x:c>
      <x:c r="E26" s="52" t="str">
        <x:v>DOCX</x:v>
      </x:c>
      <x:c r="F26" s="52" t="str">
        <x:v>Modelo vacío para actividades, productos, evidencias, seguridad social y balance financiero.</x:v>
      </x:c>
      <x:c r="G26" s="52" t="str">
        <x:v>Borrador transitorio - en aprobación</x:v>
      </x:c>
      <x:c r="H26" s="70" t="n">
        <x:v>46234</x:v>
      </x:c>
      <x:c r="I26" s="52" t="str">
        <x:v>Jurídica y Contratación / TIC</x:v>
      </x:c>
      <x:c r="J26" s="52" t="str"/>
      <x:c r="K26" s="52" t="str">
        <x:v>Pendiente</x:v>
      </x:c>
      <x:c r="L26" s="52" t="str">
        <x:v>Nombre de archivo descriptivo; título y advertencia dentro del documento.</x:v>
      </x:c>
      <x:c r="M26" s="52" t="str">
        <x:v>Reemplazar enlace cuando se apruebe la versión oficial.</x:v>
      </x:c>
    </x:row>
    <x:row r="27" ht="58" customHeight="1">
      <x:c r="A27" s="52" t="n">
        <x:v>18</x:v>
      </x:c>
      <x:c r="B27" s="52" t="str">
        <x:v>Ejecución y supervisión</x:v>
      </x:c>
      <x:c r="C27" s="52" t="str">
        <x:v>Formato de informe de supervisión o interventoría</x:v>
      </x:c>
      <x:c r="D27" s="52" t="str">
        <x:v>04_Ejecucion_y_Supervision/17_Formato_Informe_Supervision_Interventoria.docx</x:v>
      </x:c>
      <x:c r="E27" s="52" t="str">
        <x:v>DOCX</x:v>
      </x:c>
      <x:c r="F27" s="52" t="str">
        <x:v>Sustituye el ejemplo diligenciado por un formato vacío, verificable, trazable y más completo.</x:v>
      </x:c>
      <x:c r="G27" s="52" t="str">
        <x:v>Borrador transitorio - en aprobación</x:v>
      </x:c>
      <x:c r="H27" s="70" t="n">
        <x:v>46234</x:v>
      </x:c>
      <x:c r="I27" s="52" t="str">
        <x:v>Jurídica y Contratación / TIC</x:v>
      </x:c>
      <x:c r="J27" s="52" t="str"/>
      <x:c r="K27" s="52" t="str">
        <x:v>Pendiente</x:v>
      </x:c>
      <x:c r="L27" s="52" t="str">
        <x:v>Nombre de archivo descriptivo; título y advertencia dentro del documento.</x:v>
      </x:c>
      <x:c r="M27" s="52" t="str">
        <x:v>Reemplazar enlace cuando se apruebe la versión oficial.</x:v>
      </x:c>
    </x:row>
    <x:row r="28" ht="58" customHeight="1">
      <x:c r="A28" s="52" t="n">
        <x:v>19</x:v>
      </x:c>
      <x:c r="B28" s="52" t="str">
        <x:v>Ejecución y supervisión</x:v>
      </x:c>
      <x:c r="C28" s="52" t="str">
        <x:v>Formato de certificación de cumplimiento y autorización de pago</x:v>
      </x:c>
      <x:c r="D28" s="52" t="str">
        <x:v>04_Ejecucion_y_Supervision/18_Formato_Certificacion_Cumplimiento_Pago.docx</x:v>
      </x:c>
      <x:c r="E28" s="52" t="str">
        <x:v>DOCX</x:v>
      </x:c>
      <x:c r="F28" s="52" t="str">
        <x:v>Certifica cumplimiento, soportes, seguridad social, descuentos, saldos y procedencia del pago.</x:v>
      </x:c>
      <x:c r="G28" s="52" t="str">
        <x:v>Borrador transitorio - en aprobación</x:v>
      </x:c>
      <x:c r="H28" s="70" t="n">
        <x:v>46234</x:v>
      </x:c>
      <x:c r="I28" s="52" t="str">
        <x:v>Jurídica y Contratación / TIC</x:v>
      </x:c>
      <x:c r="J28" s="52" t="str"/>
      <x:c r="K28" s="52" t="str">
        <x:v>Pendiente</x:v>
      </x:c>
      <x:c r="L28" s="52" t="str">
        <x:v>Nombre de archivo descriptivo; título y advertencia dentro del documento.</x:v>
      </x:c>
      <x:c r="M28" s="52" t="str">
        <x:v>Reemplazar enlace cuando se apruebe la versión oficial.</x:v>
      </x:c>
    </x:row>
    <x:row r="29" ht="58" customHeight="1">
      <x:c r="A29" s="52" t="n">
        <x:v>20</x:v>
      </x:c>
      <x:c r="B29" s="52" t="str">
        <x:v>Cierre y archivo</x:v>
      </x:c>
      <x:c r="C29" s="52" t="str">
        <x:v>Formato de acta de terminación y recibo final</x:v>
      </x:c>
      <x:c r="D29" s="52" t="str">
        <x:v>05_Cierre_y_Archivo/19_Formato_Acta_Terminacion_Recibo_Final.docx</x:v>
      </x:c>
      <x:c r="E29" s="52" t="str">
        <x:v>DOCX</x:v>
      </x:c>
      <x:c r="F29" s="52" t="str">
        <x:v>Recibo de productos, pendientes, bienes, garantías y cierre técnico.</x:v>
      </x:c>
      <x:c r="G29" s="52" t="str">
        <x:v>Borrador transitorio - en aprobación</x:v>
      </x:c>
      <x:c r="H29" s="70" t="n">
        <x:v>46234</x:v>
      </x:c>
      <x:c r="I29" s="52" t="str">
        <x:v>Jurídica y Contratación / TIC</x:v>
      </x:c>
      <x:c r="J29" s="52" t="str"/>
      <x:c r="K29" s="52" t="str">
        <x:v>Pendiente</x:v>
      </x:c>
      <x:c r="L29" s="52" t="str">
        <x:v>Nombre de archivo descriptivo; título y advertencia dentro del documento.</x:v>
      </x:c>
      <x:c r="M29" s="52" t="str">
        <x:v>Reemplazar enlace cuando se apruebe la versión oficial.</x:v>
      </x:c>
    </x:row>
    <x:row r="30" ht="58" customHeight="1">
      <x:c r="A30" s="52" t="n">
        <x:v>21</x:v>
      </x:c>
      <x:c r="B30" s="52" t="str">
        <x:v>Cierre y archivo</x:v>
      </x:c>
      <x:c r="C30" s="52" t="str">
        <x:v>Formato de acta de liquidación bilateral</x:v>
      </x:c>
      <x:c r="D30" s="52" t="str">
        <x:v>05_Cierre_y_Archivo/20_Formato_Acta_Liquidacion_Bilateral.docx</x:v>
      </x:c>
      <x:c r="E30" s="52" t="str">
        <x:v>DOCX</x:v>
      </x:c>
      <x:c r="F30" s="52" t="str">
        <x:v>Balance jurídico, técnico y financiero; obligaciones posteriores, salvedades y firmas.</x:v>
      </x:c>
      <x:c r="G30" s="52" t="str">
        <x:v>Borrador transitorio - en aprobación</x:v>
      </x:c>
      <x:c r="H30" s="70" t="n">
        <x:v>46234</x:v>
      </x:c>
      <x:c r="I30" s="52" t="str">
        <x:v>Jurídica y Contratación / TIC</x:v>
      </x:c>
      <x:c r="J30" s="52" t="str"/>
      <x:c r="K30" s="52" t="str">
        <x:v>Pendiente</x:v>
      </x:c>
      <x:c r="L30" s="52" t="str">
        <x:v>Nombre de archivo descriptivo; título y advertencia dentro del documento.</x:v>
      </x:c>
      <x:c r="M30" s="52" t="str">
        <x:v>Reemplazar enlace cuando se apruebe la versión oficial.</x:v>
      </x:c>
    </x:row>
    <x:row r="31" ht="58" customHeight="1">
      <x:c r="A31" s="52" t="n">
        <x:v>22</x:v>
      </x:c>
      <x:c r="B31" s="52" t="str">
        <x:v>Cierre y archivo</x:v>
      </x:c>
      <x:c r="C31" s="52" t="str">
        <x:v>Lista de chequeo del expediente contractual</x:v>
      </x:c>
      <x:c r="D31" s="52" t="str">
        <x:v>05_Cierre_y_Archivo/21_Lista_Chequeo_Expediente_Contractual.docx</x:v>
      </x:c>
      <x:c r="E31" s="52" t="str">
        <x:v>DOCX</x:v>
      </x:c>
      <x:c r="F31" s="52" t="str">
        <x:v>Control de 41 evidencias desde planeación hasta transferencia documental.</x:v>
      </x:c>
      <x:c r="G31" s="52" t="str">
        <x:v>Borrador transitorio - en aprobación</x:v>
      </x:c>
      <x:c r="H31" s="70" t="n">
        <x:v>46234</x:v>
      </x:c>
      <x:c r="I31" s="52" t="str">
        <x:v>Jurídica y Contratación / TIC</x:v>
      </x:c>
      <x:c r="J31" s="52" t="str"/>
      <x:c r="K31" s="52" t="str">
        <x:v>Pendiente</x:v>
      </x:c>
      <x:c r="L31" s="52" t="str">
        <x:v>Nombre de archivo descriptivo; título y advertencia dentro del documento.</x:v>
      </x:c>
      <x:c r="M31" s="52" t="str">
        <x:v>Reemplazar enlace cuando se apruebe la versión oficial.</x:v>
      </x:c>
    </x:row>
    <x:row r="32" ht="58" customHeight="1">
      <x:c r="A32" s="52" t="n">
        <x:v>23</x:v>
      </x:c>
      <x:c r="B32" s="52" t="str">
        <x:v>Guía y publicación</x:v>
      </x:c>
      <x:c r="C32" s="52" t="str">
        <x:v>Declaración institucional de publicación transitoria</x:v>
      </x:c>
      <x:c r="D32" s="52" t="str">
        <x:v>00_Guia_y_Publicacion/22_Declaracion_Publicacion_Transitoria.docx</x:v>
      </x:c>
      <x:c r="E32" s="52" t="str">
        <x:v>DOCX</x:v>
      </x:c>
      <x:c r="F32" s="52" t="str">
        <x:v>Texto institucional para explicar revisión, aprobación, TRD y aplicativo en desarrollo.</x:v>
      </x:c>
      <x:c r="G32" s="52" t="str">
        <x:v>Borrador transitorio - en aprobación</x:v>
      </x:c>
      <x:c r="H32" s="70" t="n">
        <x:v>46234</x:v>
      </x:c>
      <x:c r="I32" s="52" t="str">
        <x:v>Jurídica y Contratación / TIC</x:v>
      </x:c>
      <x:c r="J32" s="52" t="str"/>
      <x:c r="K32" s="52" t="str">
        <x:v>Pendiente</x:v>
      </x:c>
      <x:c r="L32" s="52" t="str">
        <x:v>Nombre de archivo descriptivo; título y advertencia dentro del documento.</x:v>
      </x:c>
      <x:c r="M32" s="52" t="str">
        <x:v>Reemplazar enlace cuando se apruebe la versión oficial.</x:v>
      </x:c>
    </x:row>
    <x:row r="33" ht="58" customHeight="1">
      <x:c r="A33" s="52" t="n">
        <x:v>24</x:v>
      </x:c>
      <x:c r="B33" s="52" t="str">
        <x:v>Matriz y control</x:v>
      </x:c>
      <x:c r="C33" s="52" t="str">
        <x:v>Matriz maestra de formatos y modelos contractuales</x:v>
      </x:c>
      <x:c r="D33" s="52" t="str">
        <x:v>06_Matriz_y_Control/Matriz_Maestra_Formatos_Modelos_Contratacion_ITA.xlsx</x:v>
      </x:c>
      <x:c r="E33" s="52" t="str">
        <x:v>XLSX</x:v>
      </x:c>
      <x:c r="F33" s="52" t="str">
        <x:v>Catálogo, aprobación, TRD, riesgos, expediente, normativa y proyecto de aplicativo.</x:v>
      </x:c>
      <x:c r="G33" s="52" t="str">
        <x:v>Documento de control transitorio</x:v>
      </x:c>
      <x:c r="H33" s="70" t="n">
        <x:v>46234</x:v>
      </x:c>
      <x:c r="I33" s="52" t="str">
        <x:v>Calidad / Jurídica / Archivo / TIC</x:v>
      </x:c>
      <x:c r="J33" s="52" t="str"/>
      <x:c r="K33" s="52" t="str">
        <x:v>Pendiente</x:v>
      </x:c>
      <x:c r="L33" s="52" t="str">
        <x:v>Hojas con encabezados, filtros y campos editables.</x:v>
      </x:c>
      <x:c r="M33" s="52" t="str">
        <x:v>Actualizar junto con el paquete.</x:v>
      </x:c>
    </x:row>
    <x:row r="34" ht="58" customHeight="1">
      <x:c r="A34" s="52" t="n">
        <x:v>25</x:v>
      </x:c>
      <x:c r="B34" s="52" t="str">
        <x:v>Guía y publicación</x:v>
      </x:c>
      <x:c r="C34" s="52" t="str">
        <x:v>Índice interactivo de formatos y modelos</x:v>
      </x:c>
      <x:c r="D34" s="52" t="str">
        <x:v>00_Guia_y_Publicacion/index_publicacion_formatos.html</x:v>
      </x:c>
      <x:c r="E34" s="52" t="str">
        <x:v>HTML</x:v>
      </x:c>
      <x:c r="F34" s="52" t="str">
        <x:v>Buscador y filtros para facilitar consulta y descarga de los documentos del paquete.</x:v>
      </x:c>
      <x:c r="G34" s="52" t="str">
        <x:v>Publicable</x:v>
      </x:c>
      <x:c r="H34" s="70" t="n">
        <x:v>46234</x:v>
      </x:c>
      <x:c r="I34" s="52" t="str">
        <x:v>TIC / Transparencia</x:v>
      </x:c>
      <x:c r="J34" s="52" t="str"/>
      <x:c r="K34" s="52" t="str">
        <x:v>Pendiente</x:v>
      </x:c>
      <x:c r="L34" s="52" t="str">
        <x:v>Validar teclado, contraste, estructura y enlaces.</x:v>
      </x:c>
      <x:c r="M34" s="52" t="str">
        <x:v>Usar en la micropágina o adaptar al gestor de contenidos.</x:v>
      </x:c>
    </x:row>
  </x:sheetData>
  <x:mergeCells>
    <x:mergeCell ref="A1:M1"/>
    <x:mergeCell ref="A2:M7"/>
  </x:mergeCells>
  <x:conditionalFormatting sqref="K10:K34">
    <x:cfRule type="expression" dxfId="13" priority="1">
      <x:formula>K10="Funcional"</x:formula>
    </x:cfRule>
    <x:cfRule type="expression" dxfId="14" priority="2">
      <x:formula>K10="Enlace roto"</x:formula>
    </x:cfRule>
  </x:conditionalFormatting>
  <x:dataValidations count="2">
    <x:dataValidation type="list" sqref="G10:G34">
      <x:formula1>"Borrador transitorio - en aprobación,Documento de control transitorio,Publicable,Aprobado y vigente,No publicar"</x:formula1>
    </x:dataValidation>
    <x:dataValidation type="list" sqref="K10:K34">
      <x:formula1>"Pendiente,Funcional,Enlace roto,No aplica"</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25" hidden="0" customWidth="1"/>
    <x:col min="2" max="2" width="27" hidden="0" customWidth="1"/>
    <x:col min="3" max="3" width="23" hidden="0" customWidth="1"/>
    <x:col min="4" max="4" width="14" hidden="0" customWidth="1"/>
    <x:col min="5" max="5" width="22" hidden="0" customWidth="1"/>
    <x:col min="6" max="6" width="27" hidden="0" customWidth="1"/>
    <x:col min="7" max="7" width="18" hidden="0" customWidth="1"/>
    <x:col min="8" max="8" width="20" hidden="0" customWidth="1"/>
  </x:cols>
  <x:sheetData>
    <x:row r="1">
      <x:c r="A1" s="6" t="str">
        <x:v>PARÁMETROS, LISTAS Y REGLAS DEL LIBRO</x:v>
      </x:c>
      <x:c r="B1" s="6"/>
      <x:c r="C1" s="6"/>
      <x:c r="D1" s="6"/>
      <x:c r="E1" s="6"/>
      <x:c r="F1" s="6"/>
      <x:c r="G1" s="6"/>
      <x:c r="H1" s="6"/>
    </x:row>
    <x:row r="3">
      <x:c r="A3" s="25" t="str">
        <x:v>Estados de revisión</x:v>
      </x:c>
      <x:c r="B3" s="25" t="str">
        <x:v>Estados de formato</x:v>
      </x:c>
      <x:c r="C3" s="25" t="str">
        <x:v>Estados de expediente</x:v>
      </x:c>
      <x:c r="D3" s="25" t="str">
        <x:v>Prioridad</x:v>
      </x:c>
      <x:c r="E3" s="25" t="str">
        <x:v>Estado del aplicativo</x:v>
      </x:c>
      <x:c r="F3" s="25" t="str">
        <x:v>Resultado DocTipo</x:v>
      </x:c>
      <x:c r="G3" s="25" t="str">
        <x:v>Eficacia control</x:v>
      </x:c>
      <x:c r="H3" s="25" t="str">
        <x:v>Estado riesgo</x:v>
      </x:c>
    </x:row>
    <x:row r="4">
      <x:c r="A4" s="52" t="str">
        <x:v>Pendiente</x:v>
      </x:c>
      <x:c r="B4" s="52" t="str">
        <x:v>En proceso de aprobación</x:v>
      </x:c>
      <x:c r="C4" s="52" t="str">
        <x:v>Pendiente</x:v>
      </x:c>
      <x:c r="D4" s="52" t="str">
        <x:v>Crítica</x:v>
      </x:c>
      <x:c r="E4" s="52" t="str">
        <x:v>Idea</x:v>
      </x:c>
      <x:c r="F4" s="52" t="str">
        <x:v>Por diligenciar</x:v>
      </x:c>
      <x:c r="G4" s="52" t="str">
        <x:v>Baja</x:v>
      </x:c>
      <x:c r="H4" s="52" t="str">
        <x:v>Abierto</x:v>
      </x:c>
    </x:row>
    <x:row r="5">
      <x:c r="A5" s="52" t="str">
        <x:v>En revisión</x:v>
      </x:c>
      <x:c r="B5" s="52" t="str">
        <x:v>Aprobado y vigente</x:v>
      </x:c>
      <x:c r="C5" s="52" t="str">
        <x:v>En revisión</x:v>
      </x:c>
      <x:c r="D5" s="52" t="str">
        <x:v>Alta</x:v>
      </x:c>
      <x:c r="E5" s="52" t="str">
        <x:v>Diseño funcional</x:v>
      </x:c>
      <x:c r="F5" s="52" t="str">
        <x:v>Aplica</x:v>
      </x:c>
      <x:c r="G5" s="52" t="str">
        <x:v>Media</x:v>
      </x:c>
      <x:c r="H5" s="52" t="str">
        <x:v>En tratamiento</x:v>
      </x:c>
    </x:row>
    <x:row r="6">
      <x:c r="A6" s="52" t="str">
        <x:v>Aprobado</x:v>
      </x:c>
      <x:c r="B6" s="52" t="str">
        <x:v>Suspendido</x:v>
      </x:c>
      <x:c r="C6" s="52" t="str">
        <x:v>Completo</x:v>
      </x:c>
      <x:c r="D6" s="52" t="str">
        <x:v>Media</x:v>
      </x:c>
      <x:c r="E6" s="52" t="str">
        <x:v>Diseño técnico</x:v>
      </x:c>
      <x:c r="F6" s="52" t="str">
        <x:v>No aplica</x:v>
      </x:c>
      <x:c r="G6" s="52" t="str">
        <x:v>Alta</x:v>
      </x:c>
      <x:c r="H6" s="52" t="str">
        <x:v>Controlado</x:v>
      </x:c>
    </x:row>
    <x:row r="7">
      <x:c r="A7" s="52" t="str">
        <x:v>No aplica</x:v>
      </x:c>
      <x:c r="B7" s="52" t="str">
        <x:v>Obsoleto</x:v>
      </x:c>
      <x:c r="C7" s="52" t="str">
        <x:v>No conforme</x:v>
      </x:c>
      <x:c r="D7" s="52" t="str">
        <x:v>Baja</x:v>
      </x:c>
      <x:c r="E7" s="52" t="str">
        <x:v>Desarrollo</x:v>
      </x:c>
      <x:c r="F7" s="52" t="str">
        <x:v>Aplicación parcial</x:v>
      </x:c>
      <x:c r="G7" s="52" t="str"/>
      <x:c r="H7" s="52" t="str">
        <x:v>Cerrado</x:v>
      </x:c>
    </x:row>
    <x:row r="8">
      <x:c r="A8" s="52" t="str">
        <x:v>Rechazado / ajustar</x:v>
      </x:c>
      <x:c r="B8" s="52" t="str">
        <x:v>No publicar</x:v>
      </x:c>
      <x:c r="C8" s="52" t="str">
        <x:v>No aplica</x:v>
      </x:c>
      <x:c r="D8" s="52" t="str"/>
      <x:c r="E8" s="52" t="str">
        <x:v>Pruebas</x:v>
      </x:c>
      <x:c r="F8" s="52" t="str">
        <x:v>Requiere concepto jurídico</x:v>
      </x:c>
      <x:c r="G8" s="52" t="str"/>
      <x:c r="H8" s="52" t="str">
        <x:v>Diseño</x:v>
      </x:c>
    </x:row>
    <x:row r="9">
      <x:c r="A9" s="52" t="str"/>
      <x:c r="B9" s="52" t="str"/>
      <x:c r="C9" s="52" t="str"/>
      <x:c r="D9" s="52" t="str"/>
      <x:c r="E9" s="52" t="str">
        <x:v>Piloto</x:v>
      </x:c>
      <x:c r="F9" s="52" t="str"/>
      <x:c r="G9" s="52" t="str"/>
      <x:c r="H9" s="52" t="str"/>
    </x:row>
    <x:row r="10">
      <x:c r="A10" s="52" t="str"/>
      <x:c r="B10" s="52" t="str"/>
      <x:c r="C10" s="52" t="str"/>
      <x:c r="D10" s="52" t="str"/>
      <x:c r="E10" s="52" t="str">
        <x:v>Producción</x:v>
      </x:c>
      <x:c r="F10" s="52" t="str"/>
      <x:c r="G10" s="52" t="str"/>
      <x:c r="H10" s="52" t="str"/>
    </x:row>
    <x:row r="11">
      <x:c r="A11" s="52" t="str"/>
      <x:c r="B11" s="52" t="str"/>
      <x:c r="C11" s="52" t="str"/>
      <x:c r="D11" s="52" t="str"/>
      <x:c r="E11" s="52" t="str">
        <x:v>Suspendido</x:v>
      </x:c>
      <x:c r="F11" s="52" t="str"/>
      <x:c r="G11" s="52" t="str"/>
      <x:c r="H11" s="52" t="str"/>
    </x:row>
    <x:row r="13">
      <x:c r="A13" s="45" t="str">
        <x:v>REGLAS DE ADMINISTRACIÓN
1. No borrar el historial: las versiones aprobadas deben conservarse.
2. Todo cambio debe indicar responsable, fecha, motivo, impacto normativo y aprobación.
3. Los borradores se publican únicamente con advertencia; los documentos de cada proceso se publican en SECOP.
4. El Documento Tipo oficial prevalece cuando sea obligatorio.
5. No publicar datos personales, firmas, identificaciones, cuentas bancarias ni ejemplos diligenciados.
6. Actualizar el libro al aprobar la TRD y al desplegar el aplicativo.</x:v>
      </x:c>
      <x:c r="B13" s="45"/>
      <x:c r="C13" s="45"/>
      <x:c r="D13" s="45"/>
      <x:c r="E13" s="45"/>
      <x:c r="F13" s="45"/>
      <x:c r="G13" s="45"/>
      <x:c r="H13" s="45"/>
    </x:row>
    <x:row r="14">
      <x:c r="A14" s="45"/>
      <x:c r="B14" s="45"/>
      <x:c r="C14" s="45"/>
      <x:c r="D14" s="45"/>
      <x:c r="E14" s="45"/>
      <x:c r="F14" s="45"/>
      <x:c r="G14" s="45"/>
      <x:c r="H14" s="45"/>
    </x:row>
    <x:row r="15">
      <x:c r="A15" s="45"/>
      <x:c r="B15" s="45"/>
      <x:c r="C15" s="45"/>
      <x:c r="D15" s="45"/>
      <x:c r="E15" s="45"/>
      <x:c r="F15" s="45"/>
      <x:c r="G15" s="45"/>
      <x:c r="H15" s="45"/>
    </x:row>
    <x:row r="16">
      <x:c r="A16" s="45"/>
      <x:c r="B16" s="45"/>
      <x:c r="C16" s="45"/>
      <x:c r="D16" s="45"/>
      <x:c r="E16" s="45"/>
      <x:c r="F16" s="45"/>
      <x:c r="G16" s="45"/>
      <x:c r="H16" s="45"/>
    </x:row>
    <x:row r="17">
      <x:c r="A17" s="45"/>
      <x:c r="B17" s="45"/>
      <x:c r="C17" s="45"/>
      <x:c r="D17" s="45"/>
      <x:c r="E17" s="45"/>
      <x:c r="F17" s="45"/>
      <x:c r="G17" s="45"/>
      <x:c r="H17" s="45"/>
    </x:row>
    <x:row r="18">
      <x:c r="A18" s="45"/>
      <x:c r="B18" s="45"/>
      <x:c r="C18" s="45"/>
      <x:c r="D18" s="45"/>
      <x:c r="E18" s="45"/>
      <x:c r="F18" s="45"/>
      <x:c r="G18" s="45"/>
      <x:c r="H18" s="45"/>
    </x:row>
  </x:sheetData>
  <x:mergeCells>
    <x:mergeCell ref="A1:H1"/>
    <x:mergeCell ref="A13:H18"/>
  </x:mergeCells>
  <x:pageMargins left="0.7" right="0.7" top="0.75" bottom="0.75" header="0.3" footer="0.3"/>
</x:worksheet>
</file>